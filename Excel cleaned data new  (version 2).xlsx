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Vinayak Khandelwal\Downloads\"/>
    </mc:Choice>
  </mc:AlternateContent>
  <xr:revisionPtr revIDLastSave="0" documentId="8_{302AD076-398C-4B78-BC88-FFEB337F2498}" xr6:coauthVersionLast="47" xr6:coauthVersionMax="47" xr10:uidLastSave="{00000000-0000-0000-0000-000000000000}"/>
  <bookViews>
    <workbookView xWindow="-110" yWindow="-110" windowWidth="19420" windowHeight="11500" tabRatio="1000" firstSheet="1" activeTab="1" xr2:uid="{F1CE0E6B-3645-4E0B-ADFD-E0683E09EF82}"/>
  </bookViews>
  <sheets>
    <sheet name="PIVOT TABLE" sheetId="3" r:id="rId1"/>
    <sheet name="Pivot_table " sheetId="7" r:id="rId2"/>
    <sheet name="Dashboard" sheetId="4" r:id="rId3"/>
    <sheet name="Excel cleaned data" sheetId="1" r:id="rId4"/>
  </sheets>
  <definedNames>
    <definedName name="Slicer_Customer_Type">#N/A</definedName>
    <definedName name="Slicer_Day">#N/A</definedName>
    <definedName name="Slicer_Product">#N/A</definedName>
    <definedName name="Slicer_Region">#N/A</definedName>
    <definedName name="Slicer_Sales_Rep">#N/A</definedName>
  </definedNames>
  <calcPr calcId="191029"/>
  <pivotCaches>
    <pivotCache cacheId="0" r:id="rId5"/>
    <pivotCache cacheId="1" r:id="rId6"/>
    <pivotCache cacheId="2" r:id="rId7"/>
  </pivotCaches>
  <fileRecoveryPr repairLoad="1"/>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1" l="1"/>
  <c r="I30" i="1"/>
  <c r="I29" i="1"/>
  <c r="I28" i="1"/>
  <c r="I27" i="1"/>
  <c r="I26" i="1"/>
  <c r="I25" i="1"/>
  <c r="I24" i="1"/>
  <c r="I23" i="1"/>
  <c r="I22" i="1"/>
  <c r="I21" i="1"/>
  <c r="I20" i="1"/>
  <c r="I19" i="1"/>
  <c r="I18" i="1"/>
  <c r="I17" i="1"/>
  <c r="I16" i="1"/>
  <c r="I15" i="1"/>
  <c r="I14" i="1"/>
  <c r="I13" i="1"/>
  <c r="I12" i="1"/>
  <c r="I11" i="1"/>
  <c r="I10" i="1"/>
  <c r="I9" i="1"/>
  <c r="I8" i="1"/>
  <c r="I7" i="1"/>
  <c r="I6" i="1"/>
  <c r="I5" i="1"/>
  <c r="I4" i="1"/>
  <c r="I3" i="1"/>
  <c r="Y2" i="1"/>
  <c r="Y2" i="1" a="1"/>
  <c r="S2" i="1"/>
  <c r="R2" i="1"/>
  <c r="Q2" i="1"/>
  <c r="P2" i="1"/>
  <c r="O2" i="1"/>
  <c r="N2" i="1"/>
  <c r="M2" i="1"/>
  <c r="I2" i="1"/>
  <c r="V25" i="4"/>
  <c r="V23" i="4"/>
  <c r="M22" i="4"/>
  <c r="AD10" i="4"/>
  <c r="J45" i="7"/>
  <c r="I44" i="7"/>
  <c r="I43" i="7"/>
  <c r="I42" i="7"/>
  <c r="I41" i="7"/>
  <c r="I40" i="7"/>
  <c r="V38" i="7"/>
  <c r="V37" i="7"/>
  <c r="V36" i="7"/>
  <c r="E13"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<sst xmlns="http://schemas.openxmlformats.org/spreadsheetml/2006/main" count="526" uniqueCount="87">
  <si>
    <t>Date</t>
  </si>
  <si>
    <t>Sales Rep</t>
  </si>
  <si>
    <t>Region</t>
  </si>
  <si>
    <t>Deals Closed</t>
  </si>
  <si>
    <t>Revenue</t>
  </si>
  <si>
    <t>Customer Type</t>
  </si>
  <si>
    <t>Product</t>
  </si>
  <si>
    <t xml:space="preserve"> Sales Rep </t>
  </si>
  <si>
    <t xml:space="preserve">Deals closed </t>
  </si>
  <si>
    <t>Reveune</t>
  </si>
  <si>
    <t xml:space="preserve">New customer </t>
  </si>
  <si>
    <t xml:space="preserve">Returning </t>
  </si>
  <si>
    <t>New deal</t>
  </si>
  <si>
    <t>Returning deal</t>
  </si>
  <si>
    <t>Revenue per deal</t>
  </si>
  <si>
    <t>Sneha</t>
  </si>
  <si>
    <t>West</t>
  </si>
  <si>
    <t>New</t>
  </si>
  <si>
    <t>Pro</t>
  </si>
  <si>
    <t>Vikram</t>
  </si>
  <si>
    <t>East</t>
  </si>
  <si>
    <t>Returning</t>
  </si>
  <si>
    <t>Anil</t>
  </si>
  <si>
    <t>South</t>
  </si>
  <si>
    <t>Basic</t>
  </si>
  <si>
    <t>Priya</t>
  </si>
  <si>
    <t>Enterprise</t>
  </si>
  <si>
    <t>North</t>
  </si>
  <si>
    <t>Rahul</t>
  </si>
  <si>
    <t>Row Labels</t>
  </si>
  <si>
    <t>Grand Total</t>
  </si>
  <si>
    <t>Sum of Revenue</t>
  </si>
  <si>
    <t>Sum of Deals Closed</t>
  </si>
  <si>
    <t/>
  </si>
  <si>
    <t>Count of Revenue</t>
  </si>
  <si>
    <t>Column Labels</t>
  </si>
  <si>
    <t>Priya Total</t>
  </si>
  <si>
    <t>Total  Revenue</t>
  </si>
  <si>
    <t xml:space="preserve"> Revenue</t>
  </si>
  <si>
    <t>Total  Deals Closed</t>
  </si>
  <si>
    <t xml:space="preserve"> Deals Closed</t>
  </si>
  <si>
    <t>Day</t>
  </si>
  <si>
    <t>No. of Deals Closed</t>
  </si>
  <si>
    <t>Count of Product</t>
  </si>
  <si>
    <t>BASIC</t>
  </si>
  <si>
    <t>ENTERPRISE</t>
  </si>
  <si>
    <t>PRO</t>
  </si>
  <si>
    <t>PRODUCT</t>
  </si>
  <si>
    <t>COUNT OF PRODUCT</t>
  </si>
  <si>
    <t>REVENUE</t>
  </si>
  <si>
    <t>AVERGAE REVENUE</t>
  </si>
  <si>
    <t>New Total</t>
  </si>
  <si>
    <t>Returning Total</t>
  </si>
  <si>
    <t>East Total</t>
  </si>
  <si>
    <t>North Total</t>
  </si>
  <si>
    <t>South Total</t>
  </si>
  <si>
    <t>West Total</t>
  </si>
  <si>
    <t>Rahul Total</t>
  </si>
  <si>
    <t>Sneha Total</t>
  </si>
  <si>
    <t>Vikram Total</t>
  </si>
  <si>
    <t>DEAL %</t>
  </si>
  <si>
    <t>REVENUE %</t>
  </si>
  <si>
    <t>Total Count of Product</t>
  </si>
  <si>
    <t>Total Sum of Revenue</t>
  </si>
  <si>
    <t>Sum of Revenue2</t>
  </si>
  <si>
    <t>Basic Total</t>
  </si>
  <si>
    <t>Pro Total</t>
  </si>
  <si>
    <t>Enterprise Total</t>
  </si>
  <si>
    <t>Deal Closed</t>
  </si>
  <si>
    <t xml:space="preserve">SALES REP </t>
  </si>
  <si>
    <t>Sum of Reveune Per Deal</t>
  </si>
  <si>
    <t xml:space="preserve">Sum of Per Of Total Reveune </t>
  </si>
  <si>
    <t>RepColourKey</t>
  </si>
  <si>
    <t>Anil Total</t>
  </si>
  <si>
    <t xml:space="preserve">     REVEUNE                DEAL</t>
  </si>
  <si>
    <t>EAST             29.45%                   18.13%</t>
  </si>
  <si>
    <t xml:space="preserve">NORTH        28.73%                   29.38%   </t>
  </si>
  <si>
    <t>SOUTH         25.78%                  33.75%</t>
  </si>
  <si>
    <t>WEST            16.04%                  18.75%</t>
  </si>
  <si>
    <t>DEAL</t>
  </si>
  <si>
    <t>EAST</t>
  </si>
  <si>
    <t>NORTH</t>
  </si>
  <si>
    <t>SOUTH</t>
  </si>
  <si>
    <t>WEST</t>
  </si>
  <si>
    <t>A</t>
  </si>
  <si>
    <t>P</t>
  </si>
  <si>
    <t xml:space="preserve">ANIL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</si>
</sst>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11"/>
      <color rgb="FF000000"/>
      <name val="Aptos Narrow"/>
      <family val="2"/>
    </font>
    <font>
      <b/>
      <sz val="12"/>
      <color theme="1"/>
      <name val="Aptos"/>
      <family val="2"/>
    </font>
    <font>
      <b/>
      <sz val="11"/>
      <color rgb="FF000000"/>
      <name val="Aptos Narrow"/>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3"/>
        <bgColor indexed="64"/>
      </patternFill>
    </fill>
    <fill>
      <patternFill patternType="solid">
        <fgColor rgb="FFC0E6F5"/>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right/>
      <top style="thin">
        <color theme="4"/>
      </top>
      <bottom style="thin">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rgb="FF44B3E1"/>
      </bottom>
      <diagonal/>
    </border>
    <border>
      <left/>
      <right/>
      <top style="medium">
        <color rgb="FF44B3E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8">
    <xf numFmtId="0" fontId="0" fillId="0" borderId="0" xfId="0"/>
    <xf numFmtId="14" fontId="0" fillId="0" borderId="0" xfId="0" applyNumberFormat="1"/>
    <xf numFmtId="0" fontId="18" fillId="0" borderId="0" xfId="0" applyFont="1"/>
    <xf numFmtId="0" fontId="4" fillId="33" borderId="2" xfId="3" applyFill="1"/>
    <xf numFmtId="0" fontId="0" fillId="0" borderId="0" xfId="0" pivotButton="1"/>
    <xf numFmtId="0" fontId="0" fillId="0" borderId="0" xfId="0" applyAlignment="1">
      <alignment horizontal="left"/>
    </xf>
    <xf numFmtId="0" fontId="16" fillId="34" borderId="10" xfId="0" applyFont="1" applyFill="1" applyBorder="1"/>
    <xf numFmtId="0" fontId="16" fillId="34" borderId="11" xfId="0" applyFont="1" applyFill="1" applyBorder="1"/>
    <xf numFmtId="0" fontId="16" fillId="34" borderId="11" xfId="0" applyFont="1" applyFill="1" applyBorder="1" applyAlignment="1">
      <alignment horizontal="left"/>
    </xf>
    <xf numFmtId="0" fontId="0" fillId="35" borderId="0" xfId="0" applyFill="1"/>
    <xf numFmtId="0" fontId="16" fillId="0" borderId="12" xfId="0" applyFont="1" applyBorder="1"/>
    <xf numFmtId="0" fontId="0" fillId="0" borderId="0" xfId="0" applyAlignment="1">
      <alignment horizontal="left" indent="1"/>
    </xf>
    <xf numFmtId="0" fontId="16" fillId="0" borderId="0" xfId="0" applyFont="1"/>
    <xf numFmtId="0" fontId="19" fillId="0" borderId="13" xfId="0" applyFont="1" applyBorder="1" applyAlignment="1">
      <alignment vertical="center"/>
    </xf>
    <xf numFmtId="0" fontId="19" fillId="0" borderId="14" xfId="0" applyFont="1" applyBorder="1" applyAlignment="1">
      <alignment vertical="center"/>
    </xf>
    <xf numFmtId="10" fontId="0" fillId="0" borderId="0" xfId="0" applyNumberFormat="1"/>
    <xf numFmtId="10" fontId="16" fillId="34" borderId="11" xfId="0" applyNumberFormat="1" applyFont="1" applyFill="1" applyBorder="1"/>
    <xf numFmtId="2" fontId="0" fillId="0" borderId="0" xfId="0" applyNumberFormat="1"/>
    <xf numFmtId="1" fontId="0" fillId="0" borderId="0" xfId="0" applyNumberFormat="1"/>
    <xf numFmtId="0" fontId="20" fillId="0" borderId="15" xfId="0" applyFont="1" applyBorder="1" applyAlignment="1">
      <alignment horizontal="left" vertical="center" indent="3"/>
    </xf>
    <xf numFmtId="0" fontId="20" fillId="0" borderId="0" xfId="0" applyFont="1" applyAlignment="1">
      <alignment horizontal="left" vertical="center" indent="3"/>
    </xf>
    <xf numFmtId="0" fontId="0" fillId="0" borderId="0" xfId="0" applyAlignment="1">
      <alignment horizontal="center"/>
    </xf>
    <xf numFmtId="0" fontId="19" fillId="0" borderId="16" xfId="0" applyFont="1" applyBorder="1" applyAlignment="1">
      <alignment vertical="center"/>
    </xf>
    <xf numFmtId="0" fontId="19" fillId="0" borderId="17" xfId="0" applyFont="1" applyBorder="1" applyAlignment="1">
      <alignment horizontal="right" vertical="center"/>
    </xf>
    <xf numFmtId="0" fontId="21" fillId="36" borderId="18" xfId="0" applyFont="1" applyFill="1" applyBorder="1" applyAlignment="1">
      <alignment vertical="center"/>
    </xf>
    <xf numFmtId="0" fontId="21" fillId="0" borderId="18" xfId="0" applyFont="1" applyBorder="1" applyAlignment="1">
      <alignment vertical="center"/>
    </xf>
    <xf numFmtId="0" fontId="21" fillId="0" borderId="18" xfId="0" applyFont="1" applyBorder="1" applyAlignment="1">
      <alignment horizontal="right" vertical="center"/>
    </xf>
    <xf numFmtId="10" fontId="21" fillId="0" borderId="18" xfId="0" applyNumberFormat="1" applyFont="1" applyBorder="1" applyAlignment="1">
      <alignment horizontal="right" vertical="center"/>
    </xf>
    <xf numFmtId="0" fontId="19" fillId="0" borderId="0" xfId="0" applyFont="1" applyAlignment="1">
      <alignment horizontal="left" vertical="center" indent="1"/>
    </xf>
    <xf numFmtId="0" fontId="19" fillId="0" borderId="0" xfId="0" applyFont="1" applyAlignment="1">
      <alignment horizontal="right" vertical="center"/>
    </xf>
    <xf numFmtId="10" fontId="19" fillId="0" borderId="0" xfId="0" applyNumberFormat="1" applyFont="1" applyAlignment="1">
      <alignment horizontal="right" vertical="center"/>
    </xf>
    <xf numFmtId="0" fontId="21" fillId="36" borderId="19" xfId="0" applyFont="1" applyFill="1" applyBorder="1" applyAlignment="1">
      <alignment vertical="center"/>
    </xf>
    <xf numFmtId="0" fontId="21" fillId="36" borderId="19" xfId="0" applyFont="1" applyFill="1" applyBorder="1" applyAlignment="1">
      <alignment horizontal="right" vertical="center"/>
    </xf>
    <xf numFmtId="10" fontId="21" fillId="36" borderId="19" xfId="0" applyNumberFormat="1" applyFont="1" applyFill="1" applyBorder="1" applyAlignment="1">
      <alignment horizontal="right" vertical="center"/>
    </xf>
    <xf numFmtId="0" fontId="0" fillId="0" borderId="0" xfId="0" pivotButton="1" applyAlignment="1">
      <alignment horizontal="center"/>
    </xf>
    <xf numFmtId="10" fontId="0" fillId="0" borderId="0" xfId="0" applyNumberFormat="1" applyAlignment="1">
      <alignment horizontal="center"/>
    </xf>
    <xf numFmtId="9" fontId="0" fillId="0" borderId="0" xfId="42" applyFont="1"/>
    <xf numFmtId="1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7">
    <dxf>
      <numFmt numFmtId="0" formatCode="General"/>
    </dxf>
    <dxf>
      <numFmt numFmtId="1" formatCode="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relativeIndent="1"/>
    </dxf>
    <dxf>
      <alignment horizontal="left" relativeIndent="1"/>
    </dxf>
    <dxf>
      <numFmt numFmtId="14" formatCode="0.00%"/>
    </dxf>
    <dxf>
      <numFmt numFmtId="14" formatCode="0.00%"/>
    </dxf>
    <dxf>
      <alignment relativeIndent="-1"/>
    </dxf>
    <dxf>
      <alignment relativeIndent="1"/>
    </dxf>
    <dxf>
      <alignment horizontal="left" relativeIndent="1"/>
    </dxf>
    <dxf>
      <alignment wrapText="0"/>
    </dxf>
    <dxf>
      <alignment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cleaned data new  (version 2).xlsx]Pivot_table !PivotTable1</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 '!$AA$3</c:f>
              <c:strCache>
                <c:ptCount val="1"/>
                <c:pt idx="0">
                  <c:v>Sum of Revenue</c:v>
                </c:pt>
              </c:strCache>
            </c:strRef>
          </c:tx>
          <c:spPr>
            <a:solidFill>
              <a:schemeClr val="accent1"/>
            </a:solidFill>
            <a:ln>
              <a:noFill/>
            </a:ln>
            <a:effectLst/>
          </c:spPr>
          <c:invertIfNegative val="0"/>
          <c:cat>
            <c:multiLvlStrRef>
              <c:f>'Pivot_table '!$X$4:$Z$14</c:f>
              <c:multiLvlStrCache>
                <c:ptCount val="4"/>
                <c:lvl>
                  <c:pt idx="0">
                    <c:v>Anil</c:v>
                  </c:pt>
                  <c:pt idx="1">
                    <c:v>Anil</c:v>
                  </c:pt>
                  <c:pt idx="2">
                    <c:v>Anil</c:v>
                  </c:pt>
                  <c:pt idx="3">
                    <c:v>Anil</c:v>
                  </c:pt>
                </c:lvl>
                <c:lvl>
                  <c:pt idx="0">
                    <c:v>Pro</c:v>
                  </c:pt>
                  <c:pt idx="1">
                    <c:v>Enterprise</c:v>
                  </c:pt>
                  <c:pt idx="2">
                    <c:v>Basic</c:v>
                  </c:pt>
                  <c:pt idx="3">
                    <c:v>Pro</c:v>
                  </c:pt>
                </c:lvl>
                <c:lvl>
                  <c:pt idx="0">
                    <c:v>New</c:v>
                  </c:pt>
                  <c:pt idx="2">
                    <c:v>Returning</c:v>
                  </c:pt>
                </c:lvl>
              </c:multiLvlStrCache>
            </c:multiLvlStrRef>
          </c:cat>
          <c:val>
            <c:numRef>
              <c:f>'Pivot_table '!$AA$4:$AA$14</c:f>
              <c:numCache>
                <c:formatCode>General</c:formatCode>
                <c:ptCount val="4"/>
                <c:pt idx="0">
                  <c:v>16130</c:v>
                </c:pt>
                <c:pt idx="1">
                  <c:v>12009</c:v>
                </c:pt>
                <c:pt idx="2">
                  <c:v>3027</c:v>
                </c:pt>
                <c:pt idx="3">
                  <c:v>1391</c:v>
                </c:pt>
              </c:numCache>
            </c:numRef>
          </c:val>
          <c:extLst>
            <c:ext xmlns:c16="http://schemas.microsoft.com/office/drawing/2014/chart" uri="{C3380CC4-5D6E-409C-BE32-E72D297353CC}">
              <c16:uniqueId val="{00000000-183C-4E13-AA67-2192D55E6F75}"/>
            </c:ext>
          </c:extLst>
        </c:ser>
        <c:ser>
          <c:idx val="1"/>
          <c:order val="1"/>
          <c:tx>
            <c:strRef>
              <c:f>'Pivot_table '!$AB$3</c:f>
              <c:strCache>
                <c:ptCount val="1"/>
                <c:pt idx="0">
                  <c:v>Sum of Revenue2</c:v>
                </c:pt>
              </c:strCache>
            </c:strRef>
          </c:tx>
          <c:spPr>
            <a:solidFill>
              <a:schemeClr val="accent2"/>
            </a:solidFill>
            <a:ln>
              <a:noFill/>
            </a:ln>
            <a:effectLst/>
          </c:spPr>
          <c:invertIfNegative val="0"/>
          <c:cat>
            <c:multiLvlStrRef>
              <c:f>'Pivot_table '!$X$4:$Z$14</c:f>
              <c:multiLvlStrCache>
                <c:ptCount val="4"/>
                <c:lvl>
                  <c:pt idx="0">
                    <c:v>Anil</c:v>
                  </c:pt>
                  <c:pt idx="1">
                    <c:v>Anil</c:v>
                  </c:pt>
                  <c:pt idx="2">
                    <c:v>Anil</c:v>
                  </c:pt>
                  <c:pt idx="3">
                    <c:v>Anil</c:v>
                  </c:pt>
                </c:lvl>
                <c:lvl>
                  <c:pt idx="0">
                    <c:v>Pro</c:v>
                  </c:pt>
                  <c:pt idx="1">
                    <c:v>Enterprise</c:v>
                  </c:pt>
                  <c:pt idx="2">
                    <c:v>Basic</c:v>
                  </c:pt>
                  <c:pt idx="3">
                    <c:v>Pro</c:v>
                  </c:pt>
                </c:lvl>
                <c:lvl>
                  <c:pt idx="0">
                    <c:v>New</c:v>
                  </c:pt>
                  <c:pt idx="2">
                    <c:v>Returning</c:v>
                  </c:pt>
                </c:lvl>
              </c:multiLvlStrCache>
            </c:multiLvlStrRef>
          </c:cat>
          <c:val>
            <c:numRef>
              <c:f>'Pivot_table '!$AB$4:$AB$14</c:f>
              <c:numCache>
                <c:formatCode>0.00%</c:formatCode>
                <c:ptCount val="4"/>
                <c:pt idx="0">
                  <c:v>0.49543876892834104</c:v>
                </c:pt>
                <c:pt idx="1">
                  <c:v>0.36886076726971156</c:v>
                </c:pt>
                <c:pt idx="2">
                  <c:v>9.2975396996037712E-2</c:v>
                </c:pt>
                <c:pt idx="3">
                  <c:v>4.2725066805909637E-2</c:v>
                </c:pt>
              </c:numCache>
            </c:numRef>
          </c:val>
          <c:extLst>
            <c:ext xmlns:c16="http://schemas.microsoft.com/office/drawing/2014/chart" uri="{C3380CC4-5D6E-409C-BE32-E72D297353CC}">
              <c16:uniqueId val="{00000008-F19A-44E2-B37B-B1318420AB50}"/>
            </c:ext>
          </c:extLst>
        </c:ser>
        <c:dLbls>
          <c:showLegendKey val="0"/>
          <c:showVal val="0"/>
          <c:showCatName val="0"/>
          <c:showSerName val="0"/>
          <c:showPercent val="0"/>
          <c:showBubbleSize val="0"/>
        </c:dLbls>
        <c:gapWidth val="182"/>
        <c:axId val="1831804511"/>
        <c:axId val="1831802111"/>
      </c:barChart>
      <c:catAx>
        <c:axId val="183180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802111"/>
        <c:crosses val="autoZero"/>
        <c:auto val="1"/>
        <c:lblAlgn val="ctr"/>
        <c:lblOffset val="100"/>
        <c:noMultiLvlLbl val="0"/>
      </c:catAx>
      <c:valAx>
        <c:axId val="1831802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80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cleaned data new  (version 2).xlsx]Pivot_table !PivotTable1</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Revenue of Returning for Basic</a:t>
            </a:r>
          </a:p>
          <a:p>
            <a:pPr>
              <a:defRPr/>
            </a:pPr>
            <a:endParaRPr lang="en-US"/>
          </a:p>
        </c:rich>
      </c:tx>
      <c:layout>
        <c:manualLayout>
          <c:xMode val="edge"/>
          <c:yMode val="edge"/>
          <c:x val="0.16672254240059736"/>
          <c:y val="4.644679769687602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4904541460922064E-2"/>
              <c:y val="-0.154496141079549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8390668269951433E-2"/>
              <c:y val="0.13361445954507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2868198394454008"/>
              <c:y val="2.662091618405086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 '!$AA$3</c:f>
              <c:strCache>
                <c:ptCount val="1"/>
                <c:pt idx="0">
                  <c:v>Sum of 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4DA0-4060-A700-391F1B6E640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DA0-4060-A700-391F1B6E640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DA0-4060-A700-391F1B6E640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F8D-4199-ADAA-19B79DFD9259}"/>
              </c:ext>
            </c:extLst>
          </c:dPt>
          <c:dLbls>
            <c:dLbl>
              <c:idx val="2"/>
              <c:layout>
                <c:manualLayout>
                  <c:x val="-7.8390668269951433E-2"/>
                  <c:y val="0.1336144595450700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DA0-4060-A700-391F1B6E6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'Pivot_table '!$X$4:$Z$14</c:f>
              <c:multiLvlStrCache>
                <c:ptCount val="4"/>
                <c:lvl>
                  <c:pt idx="0">
                    <c:v>Anil</c:v>
                  </c:pt>
                  <c:pt idx="1">
                    <c:v>Anil</c:v>
                  </c:pt>
                  <c:pt idx="2">
                    <c:v>Anil</c:v>
                  </c:pt>
                  <c:pt idx="3">
                    <c:v>Anil</c:v>
                  </c:pt>
                </c:lvl>
                <c:lvl>
                  <c:pt idx="0">
                    <c:v>Pro</c:v>
                  </c:pt>
                  <c:pt idx="1">
                    <c:v>Enterprise</c:v>
                  </c:pt>
                  <c:pt idx="2">
                    <c:v>Basic</c:v>
                  </c:pt>
                  <c:pt idx="3">
                    <c:v>Pro</c:v>
                  </c:pt>
                </c:lvl>
                <c:lvl>
                  <c:pt idx="0">
                    <c:v>New</c:v>
                  </c:pt>
                  <c:pt idx="2">
                    <c:v>Returning</c:v>
                  </c:pt>
                </c:lvl>
              </c:multiLvlStrCache>
            </c:multiLvlStrRef>
          </c:cat>
          <c:val>
            <c:numRef>
              <c:f>'Pivot_table '!$AA$4:$AA$14</c:f>
              <c:numCache>
                <c:formatCode>General</c:formatCode>
                <c:ptCount val="4"/>
                <c:pt idx="0">
                  <c:v>16130</c:v>
                </c:pt>
                <c:pt idx="1">
                  <c:v>12009</c:v>
                </c:pt>
                <c:pt idx="2">
                  <c:v>3027</c:v>
                </c:pt>
                <c:pt idx="3">
                  <c:v>1391</c:v>
                </c:pt>
              </c:numCache>
            </c:numRef>
          </c:val>
          <c:extLst>
            <c:ext xmlns:c16="http://schemas.microsoft.com/office/drawing/2014/chart" uri="{C3380CC4-5D6E-409C-BE32-E72D297353CC}">
              <c16:uniqueId val="{00000000-4DA0-4060-A700-391F1B6E6409}"/>
            </c:ext>
          </c:extLst>
        </c:ser>
        <c:ser>
          <c:idx val="1"/>
          <c:order val="1"/>
          <c:tx>
            <c:strRef>
              <c:f>'Pivot_table '!$AB$3</c:f>
              <c:strCache>
                <c:ptCount val="1"/>
                <c:pt idx="0">
                  <c:v>Sum of Revenue2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F8D-4199-ADAA-19B79DFD925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F8D-4199-ADAA-19B79DFD925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F8D-4199-ADAA-19B79DFD925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F8D-4199-ADAA-19B79DFD92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'Pivot_table '!$X$4:$Z$14</c:f>
              <c:multiLvlStrCache>
                <c:ptCount val="4"/>
                <c:lvl>
                  <c:pt idx="0">
                    <c:v>Anil</c:v>
                  </c:pt>
                  <c:pt idx="1">
                    <c:v>Anil</c:v>
                  </c:pt>
                  <c:pt idx="2">
                    <c:v>Anil</c:v>
                  </c:pt>
                  <c:pt idx="3">
                    <c:v>Anil</c:v>
                  </c:pt>
                </c:lvl>
                <c:lvl>
                  <c:pt idx="0">
                    <c:v>Pro</c:v>
                  </c:pt>
                  <c:pt idx="1">
                    <c:v>Enterprise</c:v>
                  </c:pt>
                  <c:pt idx="2">
                    <c:v>Basic</c:v>
                  </c:pt>
                  <c:pt idx="3">
                    <c:v>Pro</c:v>
                  </c:pt>
                </c:lvl>
                <c:lvl>
                  <c:pt idx="0">
                    <c:v>New</c:v>
                  </c:pt>
                  <c:pt idx="2">
                    <c:v>Returning</c:v>
                  </c:pt>
                </c:lvl>
              </c:multiLvlStrCache>
            </c:multiLvlStrRef>
          </c:cat>
          <c:val>
            <c:numRef>
              <c:f>'Pivot_table '!$AB$4:$AB$14</c:f>
              <c:numCache>
                <c:formatCode>0.00%</c:formatCode>
                <c:ptCount val="4"/>
                <c:pt idx="0">
                  <c:v>0.49543876892834104</c:v>
                </c:pt>
                <c:pt idx="1">
                  <c:v>0.36886076726971156</c:v>
                </c:pt>
                <c:pt idx="2">
                  <c:v>9.2975396996037712E-2</c:v>
                </c:pt>
                <c:pt idx="3">
                  <c:v>4.2725066805909637E-2</c:v>
                </c:pt>
              </c:numCache>
            </c:numRef>
          </c:val>
          <c:extLst>
            <c:ext xmlns:c16="http://schemas.microsoft.com/office/drawing/2014/chart" uri="{C3380CC4-5D6E-409C-BE32-E72D297353CC}">
              <c16:uniqueId val="{00000001-4DA0-4060-A700-391F1B6E640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534498674514277"/>
          <c:y val="0.47419800275242346"/>
          <c:w val="0.31465512437071574"/>
          <c:h val="0.497822083708639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cleaned data new  (version 2).xlsx]Pivot_table !PivotTable41</c:name>
    <c:fmtId val="6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Per Of Total Reveune Of Pro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rgbClr val="7030A0"/>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pivotFmt>
    </c:pivotFmts>
    <c:plotArea>
      <c:layout/>
      <c:pieChart>
        <c:varyColors val="0"/>
        <c:ser>
          <c:idx val="0"/>
          <c:order val="0"/>
          <c:tx>
            <c:strRef>
              <c:f>'Pivot_table '!$AB$41</c:f>
              <c:strCache>
                <c:ptCount val="1"/>
                <c:pt idx="0">
                  <c:v> Deals Closed</c:v>
                </c:pt>
              </c:strCache>
            </c:strRef>
          </c:tx>
          <c:spPr>
            <a:solidFill>
              <a:schemeClr val="accent1"/>
            </a:solidFill>
            <a:ln w="19050">
              <a:solidFill>
                <a:schemeClr val="lt1"/>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'Pivot_table '!$X$42:$AA$57</c:f>
              <c:multiLvlStrCache>
                <c:ptCount val="5"/>
                <c:lvl>
                  <c:pt idx="0">
                    <c:v>South</c:v>
                  </c:pt>
                  <c:pt idx="1">
                    <c:v>North</c:v>
                  </c:pt>
                  <c:pt idx="2">
                    <c:v>East</c:v>
                  </c:pt>
                  <c:pt idx="3">
                    <c:v>South</c:v>
                  </c:pt>
                  <c:pt idx="4">
                    <c:v>West</c:v>
                  </c:pt>
                </c:lvl>
                <c:lvl>
                  <c:pt idx="0">
                    <c:v>Returning</c:v>
                  </c:pt>
                  <c:pt idx="1">
                    <c:v>New</c:v>
                  </c:pt>
                  <c:pt idx="2">
                    <c:v>New</c:v>
                  </c:pt>
                  <c:pt idx="4">
                    <c:v>Returning</c:v>
                  </c:pt>
                </c:lvl>
                <c:lvl>
                  <c:pt idx="0">
                    <c:v>Anil</c:v>
                  </c:pt>
                  <c:pt idx="1">
                    <c:v>Anil</c:v>
                  </c:pt>
                  <c:pt idx="2">
                    <c:v>Anil</c:v>
                  </c:pt>
                </c:lvl>
                <c:lvl>
                  <c:pt idx="0">
                    <c:v>Basic</c:v>
                  </c:pt>
                  <c:pt idx="1">
                    <c:v>Enterprise</c:v>
                  </c:pt>
                  <c:pt idx="2">
                    <c:v>Pro</c:v>
                  </c:pt>
                </c:lvl>
              </c:multiLvlStrCache>
            </c:multiLvlStrRef>
          </c:cat>
          <c:val>
            <c:numRef>
              <c:f>'Pivot_table '!$AB$42:$AB$57</c:f>
              <c:numCache>
                <c:formatCode>General</c:formatCode>
                <c:ptCount val="5"/>
                <c:pt idx="0">
                  <c:v>8</c:v>
                </c:pt>
                <c:pt idx="1">
                  <c:v>15</c:v>
                </c:pt>
                <c:pt idx="2">
                  <c:v>6</c:v>
                </c:pt>
                <c:pt idx="3">
                  <c:v>9</c:v>
                </c:pt>
                <c:pt idx="4">
                  <c:v>8</c:v>
                </c:pt>
              </c:numCache>
            </c:numRef>
          </c:val>
          <c:extLst>
            <c:ext xmlns:c16="http://schemas.microsoft.com/office/drawing/2014/chart" uri="{C3380CC4-5D6E-409C-BE32-E72D297353CC}">
              <c16:uniqueId val="{00000000-3D50-4F07-97FC-F5A70C8CBBD1}"/>
            </c:ext>
          </c:extLst>
        </c:ser>
        <c:ser>
          <c:idx val="1"/>
          <c:order val="1"/>
          <c:tx>
            <c:strRef>
              <c:f>'Pivot_table '!$AC$41</c:f>
              <c:strCache>
                <c:ptCount val="1"/>
                <c:pt idx="0">
                  <c:v>Sum of Per Of Total Reveune </c:v>
                </c:pt>
              </c:strCache>
            </c:strRef>
          </c:tx>
          <c:spPr>
            <a:solidFill>
              <a:schemeClr val="accent2"/>
            </a:solidFill>
            <a:ln w="19050">
              <a:solidFill>
                <a:schemeClr val="lt1"/>
              </a:solidFill>
            </a:ln>
            <a:effectLst/>
          </c:spP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'Pivot_table '!$X$42:$AA$57</c:f>
              <c:multiLvlStrCache>
                <c:ptCount val="5"/>
                <c:lvl>
                  <c:pt idx="0">
                    <c:v>South</c:v>
                  </c:pt>
                  <c:pt idx="1">
                    <c:v>North</c:v>
                  </c:pt>
                  <c:pt idx="2">
                    <c:v>East</c:v>
                  </c:pt>
                  <c:pt idx="3">
                    <c:v>South</c:v>
                  </c:pt>
                  <c:pt idx="4">
                    <c:v>West</c:v>
                  </c:pt>
                </c:lvl>
                <c:lvl>
                  <c:pt idx="0">
                    <c:v>Returning</c:v>
                  </c:pt>
                  <c:pt idx="1">
                    <c:v>New</c:v>
                  </c:pt>
                  <c:pt idx="2">
                    <c:v>New</c:v>
                  </c:pt>
                  <c:pt idx="4">
                    <c:v>Returning</c:v>
                  </c:pt>
                </c:lvl>
                <c:lvl>
                  <c:pt idx="0">
                    <c:v>Anil</c:v>
                  </c:pt>
                  <c:pt idx="1">
                    <c:v>Anil</c:v>
                  </c:pt>
                  <c:pt idx="2">
                    <c:v>Anil</c:v>
                  </c:pt>
                </c:lvl>
                <c:lvl>
                  <c:pt idx="0">
                    <c:v>Basic</c:v>
                  </c:pt>
                  <c:pt idx="1">
                    <c:v>Enterprise</c:v>
                  </c:pt>
                  <c:pt idx="2">
                    <c:v>Pro</c:v>
                  </c:pt>
                </c:lvl>
              </c:multiLvlStrCache>
            </c:multiLvlStrRef>
          </c:cat>
          <c:val>
            <c:numRef>
              <c:f>'Pivot_table '!$AC$42:$AC$57</c:f>
              <c:numCache>
                <c:formatCode>0.00%</c:formatCode>
                <c:ptCount val="5"/>
                <c:pt idx="0">
                  <c:v>1.7589326701260365E-2</c:v>
                </c:pt>
                <c:pt idx="1">
                  <c:v>6.978203645703196E-2</c:v>
                </c:pt>
                <c:pt idx="2">
                  <c:v>8.500055202710162E-2</c:v>
                </c:pt>
                <c:pt idx="3">
                  <c:v>8.7278390172755432E-3</c:v>
                </c:pt>
                <c:pt idx="4">
                  <c:v>8.0828389301133684E-3</c:v>
                </c:pt>
              </c:numCache>
            </c:numRef>
          </c:val>
          <c:extLst>
            <c:ext xmlns:c16="http://schemas.microsoft.com/office/drawing/2014/chart" uri="{C3380CC4-5D6E-409C-BE32-E72D297353CC}">
              <c16:uniqueId val="{00000001-3D50-4F07-97FC-F5A70C8CBBD1}"/>
            </c:ext>
          </c:extLst>
        </c:ser>
        <c:ser>
          <c:idx val="2"/>
          <c:order val="2"/>
          <c:tx>
            <c:strRef>
              <c:f>'Pivot_table '!$AD$41</c:f>
              <c:strCache>
                <c:ptCount val="1"/>
                <c:pt idx="0">
                  <c:v>Sum of Reveune Per Deal</c:v>
                </c:pt>
              </c:strCache>
            </c:strRef>
          </c:tx>
          <c:spPr>
            <a:solidFill>
              <a:schemeClr val="accent3"/>
            </a:solidFill>
            <a:ln w="19050">
              <a:solidFill>
                <a:schemeClr val="lt1"/>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'Pivot_table '!$X$42:$AA$57</c:f>
              <c:multiLvlStrCache>
                <c:ptCount val="5"/>
                <c:lvl>
                  <c:pt idx="0">
                    <c:v>South</c:v>
                  </c:pt>
                  <c:pt idx="1">
                    <c:v>North</c:v>
                  </c:pt>
                  <c:pt idx="2">
                    <c:v>East</c:v>
                  </c:pt>
                  <c:pt idx="3">
                    <c:v>South</c:v>
                  </c:pt>
                  <c:pt idx="4">
                    <c:v>West</c:v>
                  </c:pt>
                </c:lvl>
                <c:lvl>
                  <c:pt idx="0">
                    <c:v>Returning</c:v>
                  </c:pt>
                  <c:pt idx="1">
                    <c:v>New</c:v>
                  </c:pt>
                  <c:pt idx="2">
                    <c:v>New</c:v>
                  </c:pt>
                  <c:pt idx="4">
                    <c:v>Returning</c:v>
                  </c:pt>
                </c:lvl>
                <c:lvl>
                  <c:pt idx="0">
                    <c:v>Anil</c:v>
                  </c:pt>
                  <c:pt idx="1">
                    <c:v>Anil</c:v>
                  </c:pt>
                  <c:pt idx="2">
                    <c:v>Anil</c:v>
                  </c:pt>
                </c:lvl>
                <c:lvl>
                  <c:pt idx="0">
                    <c:v>Basic</c:v>
                  </c:pt>
                  <c:pt idx="1">
                    <c:v>Enterprise</c:v>
                  </c:pt>
                  <c:pt idx="2">
                    <c:v>Pro</c:v>
                  </c:pt>
                </c:lvl>
              </c:multiLvlStrCache>
            </c:multiLvlStrRef>
          </c:cat>
          <c:val>
            <c:numRef>
              <c:f>'Pivot_table '!$AD$42:$AD$57</c:f>
              <c:numCache>
                <c:formatCode>General</c:formatCode>
                <c:ptCount val="5"/>
                <c:pt idx="0">
                  <c:v>378.375</c:v>
                </c:pt>
                <c:pt idx="1">
                  <c:v>800.6</c:v>
                </c:pt>
                <c:pt idx="2">
                  <c:v>2438</c:v>
                </c:pt>
                <c:pt idx="3">
                  <c:v>166.88888888888889</c:v>
                </c:pt>
                <c:pt idx="4">
                  <c:v>173.875</c:v>
                </c:pt>
              </c:numCache>
            </c:numRef>
          </c:val>
          <c:extLst>
            <c:ext xmlns:c16="http://schemas.microsoft.com/office/drawing/2014/chart" uri="{C3380CC4-5D6E-409C-BE32-E72D297353CC}">
              <c16:uniqueId val="{00000002-3D50-4F07-97FC-F5A70C8CBBD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vs Deal(%)</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'Pivot_table '!$C$121</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'!$B$122:$B$125</c:f>
              <c:strCache>
                <c:ptCount val="4"/>
                <c:pt idx="0">
                  <c:v>EAST</c:v>
                </c:pt>
                <c:pt idx="1">
                  <c:v>NORTH</c:v>
                </c:pt>
                <c:pt idx="2">
                  <c:v>SOUTH</c:v>
                </c:pt>
                <c:pt idx="3">
                  <c:v>WEST</c:v>
                </c:pt>
              </c:strCache>
            </c:strRef>
          </c:cat>
          <c:val>
            <c:numRef>
              <c:f>'Pivot_table '!$C$122:$C$125</c:f>
              <c:numCache>
                <c:formatCode>General</c:formatCode>
                <c:ptCount val="4"/>
                <c:pt idx="0">
                  <c:v>29.45</c:v>
                </c:pt>
                <c:pt idx="1">
                  <c:v>28.73</c:v>
                </c:pt>
                <c:pt idx="2">
                  <c:v>25.78</c:v>
                </c:pt>
                <c:pt idx="3">
                  <c:v>16.04</c:v>
                </c:pt>
              </c:numCache>
            </c:numRef>
          </c:val>
          <c:extLst>
            <c:ext xmlns:c16="http://schemas.microsoft.com/office/drawing/2014/chart" uri="{C3380CC4-5D6E-409C-BE32-E72D297353CC}">
              <c16:uniqueId val="{00000000-E527-4086-A0C5-C4972C868814}"/>
            </c:ext>
          </c:extLst>
        </c:ser>
        <c:ser>
          <c:idx val="1"/>
          <c:order val="1"/>
          <c:tx>
            <c:strRef>
              <c:f>'Pivot_table '!$D$121</c:f>
              <c:strCache>
                <c:ptCount val="1"/>
                <c:pt idx="0">
                  <c:v>DEAL</c:v>
                </c:pt>
              </c:strCache>
            </c:strRef>
          </c:tx>
          <c:spPr>
            <a:solidFill>
              <a:schemeClr val="accent2"/>
            </a:solidFill>
            <a:ln>
              <a:noFill/>
            </a:ln>
            <a:effectLst/>
          </c:spPr>
          <c:invertIfNegative val="0"/>
          <c:dLbls>
            <c:dLbl>
              <c:idx val="1"/>
              <c:layout>
                <c:manualLayout>
                  <c:x val="1.1111111111111212E-2"/>
                  <c:y val="4.62962962962958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27-4086-A0C5-C4972C8688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'!$B$122:$B$125</c:f>
              <c:strCache>
                <c:ptCount val="4"/>
                <c:pt idx="0">
                  <c:v>EAST</c:v>
                </c:pt>
                <c:pt idx="1">
                  <c:v>NORTH</c:v>
                </c:pt>
                <c:pt idx="2">
                  <c:v>SOUTH</c:v>
                </c:pt>
                <c:pt idx="3">
                  <c:v>WEST</c:v>
                </c:pt>
              </c:strCache>
            </c:strRef>
          </c:cat>
          <c:val>
            <c:numRef>
              <c:f>'Pivot_table '!$D$122:$D$125</c:f>
              <c:numCache>
                <c:formatCode>General</c:formatCode>
                <c:ptCount val="4"/>
                <c:pt idx="0">
                  <c:v>18.13</c:v>
                </c:pt>
                <c:pt idx="1">
                  <c:v>29.38</c:v>
                </c:pt>
                <c:pt idx="2">
                  <c:v>33.75</c:v>
                </c:pt>
                <c:pt idx="3">
                  <c:v>18.75</c:v>
                </c:pt>
              </c:numCache>
            </c:numRef>
          </c:val>
          <c:extLst>
            <c:ext xmlns:c16="http://schemas.microsoft.com/office/drawing/2014/chart" uri="{C3380CC4-5D6E-409C-BE32-E72D297353CC}">
              <c16:uniqueId val="{00000001-E527-4086-A0C5-C4972C868814}"/>
            </c:ext>
          </c:extLst>
        </c:ser>
        <c:dLbls>
          <c:dLblPos val="outEnd"/>
          <c:showLegendKey val="0"/>
          <c:showVal val="1"/>
          <c:showCatName val="0"/>
          <c:showSerName val="0"/>
          <c:showPercent val="0"/>
          <c:showBubbleSize val="0"/>
        </c:dLbls>
        <c:gapWidth val="219"/>
        <c:overlap val="-27"/>
        <c:axId val="1602926143"/>
        <c:axId val="1602933823"/>
      </c:barChart>
      <c:catAx>
        <c:axId val="160292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933823"/>
        <c:crosses val="autoZero"/>
        <c:auto val="1"/>
        <c:lblAlgn val="ctr"/>
        <c:lblOffset val="100"/>
        <c:noMultiLvlLbl val="0"/>
      </c:catAx>
      <c:valAx>
        <c:axId val="1602933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9261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'Pivot_table '!$L$121</c:f>
              <c:strCache>
                <c:ptCount val="1"/>
                <c:pt idx="0">
                  <c:v>COUNT OF PRODUCT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 '!$K$122:$K$124</c:f>
              <c:strCache>
                <c:ptCount val="3"/>
                <c:pt idx="0">
                  <c:v>BASIC</c:v>
                </c:pt>
                <c:pt idx="1">
                  <c:v>ENTERPRISE</c:v>
                </c:pt>
                <c:pt idx="2">
                  <c:v>PRO</c:v>
                </c:pt>
              </c:strCache>
            </c:strRef>
          </c:cat>
          <c:val>
            <c:numRef>
              <c:f>'Pivot_table '!$L$122:$L$124</c:f>
              <c:numCache>
                <c:formatCode>General</c:formatCode>
                <c:ptCount val="3"/>
                <c:pt idx="0">
                  <c:v>12</c:v>
                </c:pt>
                <c:pt idx="1">
                  <c:v>7</c:v>
                </c:pt>
                <c:pt idx="2">
                  <c:v>11</c:v>
                </c:pt>
              </c:numCache>
            </c:numRef>
          </c:val>
          <c:extLst>
            <c:ext xmlns:c16="http://schemas.microsoft.com/office/drawing/2014/chart" uri="{C3380CC4-5D6E-409C-BE32-E72D297353CC}">
              <c16:uniqueId val="{00000000-3A96-49F6-B583-10FEA1D54DFA}"/>
            </c:ext>
          </c:extLst>
        </c:ser>
        <c:dLbls>
          <c:showLegendKey val="0"/>
          <c:showVal val="1"/>
          <c:showCatName val="0"/>
          <c:showSerName val="0"/>
          <c:showPercent val="0"/>
          <c:showBubbleSize val="0"/>
        </c:dLbls>
        <c:gapWidth val="219"/>
        <c:overlap val="-27"/>
        <c:axId val="1602909823"/>
        <c:axId val="1602899263"/>
      </c:barChart>
      <c:lineChart>
        <c:grouping val="standard"/>
        <c:varyColors val="0"/>
        <c:ser>
          <c:idx val="1"/>
          <c:order val="1"/>
          <c:tx>
            <c:strRef>
              <c:f>'Pivot_table '!$M$121</c:f>
              <c:strCache>
                <c:ptCount val="1"/>
                <c:pt idx="0">
                  <c:v>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 '!$K$122:$K$124</c:f>
              <c:strCache>
                <c:ptCount val="3"/>
                <c:pt idx="0">
                  <c:v>BASIC</c:v>
                </c:pt>
                <c:pt idx="1">
                  <c:v>ENTERPRISE</c:v>
                </c:pt>
                <c:pt idx="2">
                  <c:v>PRO</c:v>
                </c:pt>
              </c:strCache>
            </c:strRef>
          </c:cat>
          <c:val>
            <c:numRef>
              <c:f>'Pivot_table '!$M$122:$M$124</c:f>
              <c:numCache>
                <c:formatCode>General</c:formatCode>
                <c:ptCount val="3"/>
                <c:pt idx="0">
                  <c:v>74810</c:v>
                </c:pt>
                <c:pt idx="1">
                  <c:v>40106</c:v>
                </c:pt>
                <c:pt idx="2">
                  <c:v>57177</c:v>
                </c:pt>
              </c:numCache>
            </c:numRef>
          </c:val>
          <c:smooth val="0"/>
          <c:extLst>
            <c:ext xmlns:c16="http://schemas.microsoft.com/office/drawing/2014/chart" uri="{C3380CC4-5D6E-409C-BE32-E72D297353CC}">
              <c16:uniqueId val="{00000001-3A96-49F6-B583-10FEA1D54DFA}"/>
            </c:ext>
          </c:extLst>
        </c:ser>
        <c:dLbls>
          <c:showLegendKey val="0"/>
          <c:showVal val="1"/>
          <c:showCatName val="0"/>
          <c:showSerName val="0"/>
          <c:showPercent val="0"/>
          <c:showBubbleSize val="0"/>
        </c:dLbls>
        <c:marker val="1"/>
        <c:smooth val="0"/>
        <c:axId val="1602913663"/>
        <c:axId val="1602898303"/>
      </c:lineChart>
      <c:catAx>
        <c:axId val="1602913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2898303"/>
        <c:crosses val="autoZero"/>
        <c:auto val="1"/>
        <c:lblAlgn val="ctr"/>
        <c:lblOffset val="100"/>
        <c:noMultiLvlLbl val="0"/>
      </c:catAx>
      <c:valAx>
        <c:axId val="16028983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2913663"/>
        <c:crosses val="autoZero"/>
        <c:crossBetween val="between"/>
      </c:valAx>
      <c:valAx>
        <c:axId val="160289926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2909823"/>
        <c:crosses val="max"/>
        <c:crossBetween val="between"/>
      </c:valAx>
      <c:catAx>
        <c:axId val="1602909823"/>
        <c:scaling>
          <c:orientation val="minMax"/>
        </c:scaling>
        <c:delete val="1"/>
        <c:axPos val="b"/>
        <c:numFmt formatCode="General" sourceLinked="1"/>
        <c:majorTickMark val="none"/>
        <c:minorTickMark val="none"/>
        <c:tickLblPos val="nextTo"/>
        <c:crossAx val="1602899263"/>
        <c:crosses val="autoZero"/>
        <c:auto val="1"/>
        <c:lblAlgn val="ctr"/>
        <c:lblOffset val="100"/>
        <c:noMultiLvlLbl val="0"/>
      </c:cat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Of Basic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'Pivot_table '!$H$141:$H$142</c:f>
              <c:strCache>
                <c:ptCount val="2"/>
                <c:pt idx="0">
                  <c:v>Count of Product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 '!$G$143:$G$146</c:f>
              <c:strCache>
                <c:ptCount val="4"/>
                <c:pt idx="0">
                  <c:v>Vikram</c:v>
                </c:pt>
                <c:pt idx="1">
                  <c:v>Priya</c:v>
                </c:pt>
                <c:pt idx="2">
                  <c:v>Sneha</c:v>
                </c:pt>
                <c:pt idx="3">
                  <c:v>Anil</c:v>
                </c:pt>
              </c:strCache>
            </c:strRef>
          </c:cat>
          <c:val>
            <c:numRef>
              <c:f>'Pivot_table '!$H$143:$H$146</c:f>
              <c:numCache>
                <c:formatCode>General</c:formatCode>
                <c:ptCount val="4"/>
                <c:pt idx="0">
                  <c:v>4</c:v>
                </c:pt>
                <c:pt idx="1">
                  <c:v>4</c:v>
                </c:pt>
                <c:pt idx="2">
                  <c:v>3</c:v>
                </c:pt>
                <c:pt idx="3">
                  <c:v>1</c:v>
                </c:pt>
              </c:numCache>
            </c:numRef>
          </c:val>
          <c:extLst>
            <c:ext xmlns:c16="http://schemas.microsoft.com/office/drawing/2014/chart" uri="{C3380CC4-5D6E-409C-BE32-E72D297353CC}">
              <c16:uniqueId val="{00000000-A045-4E6B-A684-17E8F687AA73}"/>
            </c:ext>
          </c:extLst>
        </c:ser>
        <c:ser>
          <c:idx val="1"/>
          <c:order val="1"/>
          <c:tx>
            <c:strRef>
              <c:f>'Pivot_table '!$I$141:$I$142</c:f>
              <c:strCache>
                <c:ptCount val="2"/>
                <c:pt idx="0">
                  <c:v>Revenue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'Pivot_table '!$G$143:$G$146</c:f>
              <c:strCache>
                <c:ptCount val="4"/>
                <c:pt idx="0">
                  <c:v>Vikram</c:v>
                </c:pt>
                <c:pt idx="1">
                  <c:v>Priya</c:v>
                </c:pt>
                <c:pt idx="2">
                  <c:v>Sneha</c:v>
                </c:pt>
                <c:pt idx="3">
                  <c:v>Anil</c:v>
                </c:pt>
              </c:strCache>
            </c:strRef>
          </c:cat>
          <c:val>
            <c:numRef>
              <c:f>'Pivot_table '!$I$143:$I$146</c:f>
              <c:numCache>
                <c:formatCode>0.00%</c:formatCode>
                <c:ptCount val="4"/>
                <c:pt idx="0">
                  <c:v>0.18970000000000001</c:v>
                </c:pt>
                <c:pt idx="1">
                  <c:v>0.17219999999999999</c:v>
                </c:pt>
                <c:pt idx="2">
                  <c:v>5.5199999999999999E-2</c:v>
                </c:pt>
                <c:pt idx="3">
                  <c:v>1.7600000000000001E-2</c:v>
                </c:pt>
              </c:numCache>
            </c:numRef>
          </c:val>
          <c:extLst>
            <c:ext xmlns:c16="http://schemas.microsoft.com/office/drawing/2014/chart" uri="{C3380CC4-5D6E-409C-BE32-E72D297353CC}">
              <c16:uniqueId val="{00000001-A045-4E6B-A684-17E8F687AA73}"/>
            </c:ext>
          </c:extLst>
        </c:ser>
        <c:ser>
          <c:idx val="2"/>
          <c:order val="2"/>
          <c:tx>
            <c:strRef>
              <c:f>'Pivot_table '!$J$141:$J$142</c:f>
              <c:strCache>
                <c:ptCount val="2"/>
                <c:pt idx="0">
                  <c:v>Sum of Revenue2</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'Pivot_table '!$G$143:$G$146</c:f>
              <c:strCache>
                <c:ptCount val="4"/>
                <c:pt idx="0">
                  <c:v>Vikram</c:v>
                </c:pt>
                <c:pt idx="1">
                  <c:v>Priya</c:v>
                </c:pt>
                <c:pt idx="2">
                  <c:v>Sneha</c:v>
                </c:pt>
                <c:pt idx="3">
                  <c:v>Anil</c:v>
                </c:pt>
              </c:strCache>
            </c:strRef>
          </c:cat>
          <c:val>
            <c:numRef>
              <c:f>'Pivot_table '!$J$143:$J$146</c:f>
              <c:numCache>
                <c:formatCode>General</c:formatCode>
                <c:ptCount val="4"/>
                <c:pt idx="0">
                  <c:v>32642</c:v>
                </c:pt>
                <c:pt idx="1">
                  <c:v>29641</c:v>
                </c:pt>
                <c:pt idx="2">
                  <c:v>9500</c:v>
                </c:pt>
                <c:pt idx="3">
                  <c:v>3027</c:v>
                </c:pt>
              </c:numCache>
            </c:numRef>
          </c:val>
          <c:extLst>
            <c:ext xmlns:c16="http://schemas.microsoft.com/office/drawing/2014/chart" uri="{C3380CC4-5D6E-409C-BE32-E72D297353CC}">
              <c16:uniqueId val="{00000002-A045-4E6B-A684-17E8F687AA73}"/>
            </c:ext>
          </c:extLst>
        </c:ser>
        <c:dLbls>
          <c:showLegendKey val="0"/>
          <c:showVal val="0"/>
          <c:showCatName val="0"/>
          <c:showSerName val="0"/>
          <c:showPercent val="0"/>
          <c:showBubbleSize val="0"/>
        </c:dLbls>
        <c:gapWidth val="182"/>
        <c:overlap val="-50"/>
        <c:axId val="1603000063"/>
        <c:axId val="1602995743"/>
      </c:barChart>
      <c:catAx>
        <c:axId val="160300006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2995743"/>
        <c:crosses val="autoZero"/>
        <c:auto val="1"/>
        <c:lblAlgn val="ctr"/>
        <c:lblOffset val="100"/>
        <c:noMultiLvlLbl val="0"/>
      </c:catAx>
      <c:valAx>
        <c:axId val="160299574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3000063"/>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cleaned data new  (version 2).xlsx]Pivot_table !PivotTable4</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 '!$O$58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'Pivot_table '!$N$59:$N$65</c:f>
              <c:multiLvlStrCache>
                <c:ptCount val="3"/>
                <c:lvl>
                  <c:pt idx="0">
                    <c:v>Anil</c:v>
                  </c:pt>
                  <c:pt idx="1">
                    <c:v>Anil</c:v>
                  </c:pt>
                  <c:pt idx="2">
                    <c:v>Anil</c:v>
                  </c:pt>
                </c:lvl>
                <c:lvl>
                  <c:pt idx="0">
                    <c:v>Basic</c:v>
                  </c:pt>
                  <c:pt idx="1">
                    <c:v>Enterprise</c:v>
                  </c:pt>
                  <c:pt idx="2">
                    <c:v>Pro</c:v>
                  </c:pt>
                </c:lvl>
              </c:multiLvlStrCache>
            </c:multiLvlStrRef>
          </c:cat>
          <c:val>
            <c:numRef>
              <c:f>'Pivot_table '!$O$59:$O$65</c:f>
              <c:numCache>
                <c:formatCode>General</c:formatCode>
                <c:ptCount val="3"/>
                <c:pt idx="0">
                  <c:v>3027</c:v>
                </c:pt>
                <c:pt idx="1">
                  <c:v>12009</c:v>
                </c:pt>
                <c:pt idx="2">
                  <c:v>17521</c:v>
                </c:pt>
              </c:numCache>
            </c:numRef>
          </c:val>
          <c:extLst>
            <c:ext xmlns:c16="http://schemas.microsoft.com/office/drawing/2014/chart" uri="{C3380CC4-5D6E-409C-BE32-E72D297353CC}">
              <c16:uniqueId val="{00000000-F763-46E7-A2F5-1990C4FC77ED}"/>
            </c:ext>
          </c:extLst>
        </c:ser>
        <c:dLbls>
          <c:showLegendKey val="0"/>
          <c:showVal val="0"/>
          <c:showCatName val="0"/>
          <c:showSerName val="0"/>
          <c:showPercent val="0"/>
          <c:showBubbleSize val="0"/>
        </c:dLbls>
        <c:gapWidth val="100"/>
        <c:overlap val="-24"/>
        <c:axId val="1602982783"/>
        <c:axId val="1602983263"/>
      </c:barChart>
      <c:catAx>
        <c:axId val="16029827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983263"/>
        <c:crosses val="autoZero"/>
        <c:auto val="1"/>
        <c:lblAlgn val="ctr"/>
        <c:lblOffset val="100"/>
        <c:noMultiLvlLbl val="0"/>
      </c:catAx>
      <c:valAx>
        <c:axId val="160298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98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cleaned data new  (version 2).xlsx]Pivot_table !PivotTable9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94079021319288"/>
          <c:y val="6.2771907875823443E-2"/>
          <c:w val="0.67931304758780653"/>
          <c:h val="0.84802553355663501"/>
        </c:manualLayout>
      </c:layout>
      <c:barChart>
        <c:barDir val="col"/>
        <c:grouping val="clustered"/>
        <c:varyColors val="0"/>
        <c:ser>
          <c:idx val="0"/>
          <c:order val="0"/>
          <c:tx>
            <c:strRef>
              <c:f>'Pivot_table '!$B$38:$B$39</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'!$A$40:$A$45</c:f>
              <c:strCache>
                <c:ptCount val="5"/>
                <c:pt idx="0">
                  <c:v>Vikram</c:v>
                </c:pt>
                <c:pt idx="1">
                  <c:v>Priya</c:v>
                </c:pt>
                <c:pt idx="2">
                  <c:v>Sneha</c:v>
                </c:pt>
                <c:pt idx="3">
                  <c:v>Anil</c:v>
                </c:pt>
                <c:pt idx="4">
                  <c:v>Rahul</c:v>
                </c:pt>
              </c:strCache>
            </c:strRef>
          </c:cat>
          <c:val>
            <c:numRef>
              <c:f>'Pivot_table '!$B$40:$B$45</c:f>
              <c:numCache>
                <c:formatCode>General</c:formatCode>
                <c:ptCount val="5"/>
                <c:pt idx="0">
                  <c:v>19999</c:v>
                </c:pt>
                <c:pt idx="1">
                  <c:v>8215</c:v>
                </c:pt>
                <c:pt idx="2">
                  <c:v>4104</c:v>
                </c:pt>
                <c:pt idx="3">
                  <c:v>14628</c:v>
                </c:pt>
                <c:pt idx="4">
                  <c:v>3731</c:v>
                </c:pt>
              </c:numCache>
            </c:numRef>
          </c:val>
          <c:extLst>
            <c:ext xmlns:c16="http://schemas.microsoft.com/office/drawing/2014/chart" uri="{C3380CC4-5D6E-409C-BE32-E72D297353CC}">
              <c16:uniqueId val="{00000000-883B-4790-B6A7-34A812548672}"/>
            </c:ext>
          </c:extLst>
        </c:ser>
        <c:ser>
          <c:idx val="1"/>
          <c:order val="1"/>
          <c:tx>
            <c:strRef>
              <c:f>'Pivot_table '!$C$38:$C$39</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'!$A$40:$A$45</c:f>
              <c:strCache>
                <c:ptCount val="5"/>
                <c:pt idx="0">
                  <c:v>Vikram</c:v>
                </c:pt>
                <c:pt idx="1">
                  <c:v>Priya</c:v>
                </c:pt>
                <c:pt idx="2">
                  <c:v>Sneha</c:v>
                </c:pt>
                <c:pt idx="3">
                  <c:v>Anil</c:v>
                </c:pt>
                <c:pt idx="4">
                  <c:v>Rahul</c:v>
                </c:pt>
              </c:strCache>
            </c:strRef>
          </c:cat>
          <c:val>
            <c:numRef>
              <c:f>'Pivot_table '!$C$40:$C$45</c:f>
              <c:numCache>
                <c:formatCode>General</c:formatCode>
                <c:ptCount val="5"/>
                <c:pt idx="0">
                  <c:v>19106</c:v>
                </c:pt>
                <c:pt idx="1">
                  <c:v>9392</c:v>
                </c:pt>
                <c:pt idx="2">
                  <c:v>8942</c:v>
                </c:pt>
                <c:pt idx="3">
                  <c:v>12009</c:v>
                </c:pt>
              </c:numCache>
            </c:numRef>
          </c:val>
          <c:extLst>
            <c:ext xmlns:c16="http://schemas.microsoft.com/office/drawing/2014/chart" uri="{C3380CC4-5D6E-409C-BE32-E72D297353CC}">
              <c16:uniqueId val="{0000003D-1336-4F2F-9EAD-26441D47AA86}"/>
            </c:ext>
          </c:extLst>
        </c:ser>
        <c:ser>
          <c:idx val="2"/>
          <c:order val="2"/>
          <c:tx>
            <c:strRef>
              <c:f>'Pivot_table '!$D$38:$D$39</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'!$A$40:$A$45</c:f>
              <c:strCache>
                <c:ptCount val="5"/>
                <c:pt idx="0">
                  <c:v>Vikram</c:v>
                </c:pt>
                <c:pt idx="1">
                  <c:v>Priya</c:v>
                </c:pt>
                <c:pt idx="2">
                  <c:v>Sneha</c:v>
                </c:pt>
                <c:pt idx="3">
                  <c:v>Anil</c:v>
                </c:pt>
                <c:pt idx="4">
                  <c:v>Rahul</c:v>
                </c:pt>
              </c:strCache>
            </c:strRef>
          </c:cat>
          <c:val>
            <c:numRef>
              <c:f>'Pivot_table '!$D$40:$D$45</c:f>
              <c:numCache>
                <c:formatCode>General</c:formatCode>
                <c:ptCount val="5"/>
                <c:pt idx="0">
                  <c:v>3695</c:v>
                </c:pt>
                <c:pt idx="1">
                  <c:v>15370</c:v>
                </c:pt>
                <c:pt idx="2">
                  <c:v>10360</c:v>
                </c:pt>
                <c:pt idx="3">
                  <c:v>4529</c:v>
                </c:pt>
                <c:pt idx="4">
                  <c:v>10413</c:v>
                </c:pt>
              </c:numCache>
            </c:numRef>
          </c:val>
          <c:extLst>
            <c:ext xmlns:c16="http://schemas.microsoft.com/office/drawing/2014/chart" uri="{C3380CC4-5D6E-409C-BE32-E72D297353CC}">
              <c16:uniqueId val="{0000003E-1336-4F2F-9EAD-26441D47AA86}"/>
            </c:ext>
          </c:extLst>
        </c:ser>
        <c:ser>
          <c:idx val="3"/>
          <c:order val="3"/>
          <c:tx>
            <c:strRef>
              <c:f>'Pivot_table '!$E$38:$E$39</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'!$A$40:$A$45</c:f>
              <c:strCache>
                <c:ptCount val="5"/>
                <c:pt idx="0">
                  <c:v>Vikram</c:v>
                </c:pt>
                <c:pt idx="1">
                  <c:v>Priya</c:v>
                </c:pt>
                <c:pt idx="2">
                  <c:v>Sneha</c:v>
                </c:pt>
                <c:pt idx="3">
                  <c:v>Anil</c:v>
                </c:pt>
                <c:pt idx="4">
                  <c:v>Rahul</c:v>
                </c:pt>
              </c:strCache>
            </c:strRef>
          </c:cat>
          <c:val>
            <c:numRef>
              <c:f>'Pivot_table '!$E$40:$E$45</c:f>
              <c:numCache>
                <c:formatCode>General</c:formatCode>
                <c:ptCount val="5"/>
                <c:pt idx="0">
                  <c:v>4561</c:v>
                </c:pt>
                <c:pt idx="1">
                  <c:v>6056</c:v>
                </c:pt>
                <c:pt idx="2">
                  <c:v>15592</c:v>
                </c:pt>
                <c:pt idx="3">
                  <c:v>1391</c:v>
                </c:pt>
              </c:numCache>
            </c:numRef>
          </c:val>
          <c:extLst>
            <c:ext xmlns:c16="http://schemas.microsoft.com/office/drawing/2014/chart" uri="{C3380CC4-5D6E-409C-BE32-E72D297353CC}">
              <c16:uniqueId val="{0000003F-1336-4F2F-9EAD-26441D47AA86}"/>
            </c:ext>
          </c:extLst>
        </c:ser>
        <c:dLbls>
          <c:dLblPos val="outEnd"/>
          <c:showLegendKey val="0"/>
          <c:showVal val="1"/>
          <c:showCatName val="0"/>
          <c:showSerName val="0"/>
          <c:showPercent val="0"/>
          <c:showBubbleSize val="0"/>
        </c:dLbls>
        <c:gapWidth val="219"/>
        <c:overlap val="-27"/>
        <c:axId val="622431024"/>
        <c:axId val="622431504"/>
      </c:barChart>
      <c:catAx>
        <c:axId val="62243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31504"/>
        <c:crosses val="autoZero"/>
        <c:auto val="1"/>
        <c:lblAlgn val="ctr"/>
        <c:lblOffset val="100"/>
        <c:noMultiLvlLbl val="0"/>
      </c:catAx>
      <c:valAx>
        <c:axId val="622431504"/>
        <c:scaling>
          <c:orientation val="minMax"/>
          <c:max val="21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31024"/>
        <c:crosses val="autoZero"/>
        <c:crossBetween val="between"/>
      </c:valAx>
      <c:spPr>
        <a:noFill/>
        <a:ln>
          <a:noFill/>
        </a:ln>
        <a:effectLst/>
      </c:spPr>
    </c:plotArea>
    <c:legend>
      <c:legendPos val="r"/>
      <c:layout>
        <c:manualLayout>
          <c:xMode val="edge"/>
          <c:yMode val="edge"/>
          <c:x val="0.90614931712114799"/>
          <c:y val="0.33412832576523044"/>
          <c:w val="9.3850894714968061E-2"/>
          <c:h val="0.2394621086333736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cleaned data new  (version 2).xlsx]Pivot_table !PivotTable19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Deals Closed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 '!$O$3:$O$4</c:f>
              <c:strCache>
                <c:ptCount val="1"/>
                <c:pt idx="0">
                  <c:v>East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'!$N$5:$N$10</c:f>
              <c:strCache>
                <c:ptCount val="5"/>
                <c:pt idx="0">
                  <c:v>Anil</c:v>
                </c:pt>
                <c:pt idx="1">
                  <c:v>Priya</c:v>
                </c:pt>
                <c:pt idx="2">
                  <c:v>Rahul</c:v>
                </c:pt>
                <c:pt idx="3">
                  <c:v>Sneha</c:v>
                </c:pt>
                <c:pt idx="4">
                  <c:v>Vikram</c:v>
                </c:pt>
              </c:strCache>
            </c:strRef>
          </c:cat>
          <c:val>
            <c:numRef>
              <c:f>'Pivot_table '!$O$5:$O$10</c:f>
              <c:numCache>
                <c:formatCode>General</c:formatCode>
                <c:ptCount val="5"/>
                <c:pt idx="0">
                  <c:v>6</c:v>
                </c:pt>
                <c:pt idx="1">
                  <c:v>2</c:v>
                </c:pt>
                <c:pt idx="2">
                  <c:v>7</c:v>
                </c:pt>
                <c:pt idx="3">
                  <c:v>2</c:v>
                </c:pt>
                <c:pt idx="4">
                  <c:v>12</c:v>
                </c:pt>
              </c:numCache>
            </c:numRef>
          </c:val>
          <c:extLst>
            <c:ext xmlns:c16="http://schemas.microsoft.com/office/drawing/2014/chart" uri="{C3380CC4-5D6E-409C-BE32-E72D297353CC}">
              <c16:uniqueId val="{00000000-40BE-474C-9179-DE4289FEC473}"/>
            </c:ext>
          </c:extLst>
        </c:ser>
        <c:ser>
          <c:idx val="1"/>
          <c:order val="1"/>
          <c:tx>
            <c:strRef>
              <c:f>'Pivot_table '!$P$3:$P$4</c:f>
              <c:strCache>
                <c:ptCount val="1"/>
                <c:pt idx="0">
                  <c:v>North</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'!$N$5:$N$10</c:f>
              <c:strCache>
                <c:ptCount val="5"/>
                <c:pt idx="0">
                  <c:v>Anil</c:v>
                </c:pt>
                <c:pt idx="1">
                  <c:v>Priya</c:v>
                </c:pt>
                <c:pt idx="2">
                  <c:v>Rahul</c:v>
                </c:pt>
                <c:pt idx="3">
                  <c:v>Sneha</c:v>
                </c:pt>
                <c:pt idx="4">
                  <c:v>Vikram</c:v>
                </c:pt>
              </c:strCache>
            </c:strRef>
          </c:cat>
          <c:val>
            <c:numRef>
              <c:f>'Pivot_table '!$P$5:$P$10</c:f>
              <c:numCache>
                <c:formatCode>General</c:formatCode>
                <c:ptCount val="5"/>
                <c:pt idx="0">
                  <c:v>15</c:v>
                </c:pt>
                <c:pt idx="1">
                  <c:v>6</c:v>
                </c:pt>
                <c:pt idx="3">
                  <c:v>13</c:v>
                </c:pt>
                <c:pt idx="4">
                  <c:v>13</c:v>
                </c:pt>
              </c:numCache>
            </c:numRef>
          </c:val>
          <c:extLst>
            <c:ext xmlns:c16="http://schemas.microsoft.com/office/drawing/2014/chart" uri="{C3380CC4-5D6E-409C-BE32-E72D297353CC}">
              <c16:uniqueId val="{0000003D-391A-4B06-9D41-742B9B34C19A}"/>
            </c:ext>
          </c:extLst>
        </c:ser>
        <c:ser>
          <c:idx val="2"/>
          <c:order val="2"/>
          <c:tx>
            <c:strRef>
              <c:f>'Pivot_table '!$Q$3:$Q$4</c:f>
              <c:strCache>
                <c:ptCount val="1"/>
                <c:pt idx="0">
                  <c:v>South</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'!$N$5:$N$10</c:f>
              <c:strCache>
                <c:ptCount val="5"/>
                <c:pt idx="0">
                  <c:v>Anil</c:v>
                </c:pt>
                <c:pt idx="1">
                  <c:v>Priya</c:v>
                </c:pt>
                <c:pt idx="2">
                  <c:v>Rahul</c:v>
                </c:pt>
                <c:pt idx="3">
                  <c:v>Sneha</c:v>
                </c:pt>
                <c:pt idx="4">
                  <c:v>Vikram</c:v>
                </c:pt>
              </c:strCache>
            </c:strRef>
          </c:cat>
          <c:val>
            <c:numRef>
              <c:f>'Pivot_table '!$Q$5:$Q$10</c:f>
              <c:numCache>
                <c:formatCode>General</c:formatCode>
                <c:ptCount val="5"/>
                <c:pt idx="0">
                  <c:v>17</c:v>
                </c:pt>
                <c:pt idx="1">
                  <c:v>5</c:v>
                </c:pt>
                <c:pt idx="2">
                  <c:v>13</c:v>
                </c:pt>
                <c:pt idx="3">
                  <c:v>16</c:v>
                </c:pt>
                <c:pt idx="4">
                  <c:v>3</c:v>
                </c:pt>
              </c:numCache>
            </c:numRef>
          </c:val>
          <c:extLst>
            <c:ext xmlns:c16="http://schemas.microsoft.com/office/drawing/2014/chart" uri="{C3380CC4-5D6E-409C-BE32-E72D297353CC}">
              <c16:uniqueId val="{0000003E-391A-4B06-9D41-742B9B34C19A}"/>
            </c:ext>
          </c:extLst>
        </c:ser>
        <c:ser>
          <c:idx val="3"/>
          <c:order val="3"/>
          <c:tx>
            <c:strRef>
              <c:f>'Pivot_table '!$R$3:$R$4</c:f>
              <c:strCache>
                <c:ptCount val="1"/>
                <c:pt idx="0">
                  <c:v>West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'!$N$5:$N$10</c:f>
              <c:strCache>
                <c:ptCount val="5"/>
                <c:pt idx="0">
                  <c:v>Anil</c:v>
                </c:pt>
                <c:pt idx="1">
                  <c:v>Priya</c:v>
                </c:pt>
                <c:pt idx="2">
                  <c:v>Rahul</c:v>
                </c:pt>
                <c:pt idx="3">
                  <c:v>Sneha</c:v>
                </c:pt>
                <c:pt idx="4">
                  <c:v>Vikram</c:v>
                </c:pt>
              </c:strCache>
            </c:strRef>
          </c:cat>
          <c:val>
            <c:numRef>
              <c:f>'Pivot_table '!$R$5:$R$10</c:f>
              <c:numCache>
                <c:formatCode>General</c:formatCode>
                <c:ptCount val="5"/>
                <c:pt idx="0">
                  <c:v>8</c:v>
                </c:pt>
                <c:pt idx="1">
                  <c:v>8</c:v>
                </c:pt>
                <c:pt idx="3">
                  <c:v>12</c:v>
                </c:pt>
                <c:pt idx="4">
                  <c:v>2</c:v>
                </c:pt>
              </c:numCache>
            </c:numRef>
          </c:val>
          <c:extLst>
            <c:ext xmlns:c16="http://schemas.microsoft.com/office/drawing/2014/chart" uri="{C3380CC4-5D6E-409C-BE32-E72D297353CC}">
              <c16:uniqueId val="{0000003F-391A-4B06-9D41-742B9B34C19A}"/>
            </c:ext>
          </c:extLst>
        </c:ser>
        <c:dLbls>
          <c:showLegendKey val="0"/>
          <c:showVal val="1"/>
          <c:showCatName val="0"/>
          <c:showSerName val="0"/>
          <c:showPercent val="0"/>
          <c:showBubbleSize val="0"/>
        </c:dLbls>
        <c:gapWidth val="150"/>
        <c:shape val="box"/>
        <c:axId val="2028706864"/>
        <c:axId val="2028707344"/>
        <c:axId val="0"/>
      </c:bar3DChart>
      <c:catAx>
        <c:axId val="2028706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707344"/>
        <c:crosses val="autoZero"/>
        <c:auto val="1"/>
        <c:lblAlgn val="ctr"/>
        <c:lblOffset val="100"/>
        <c:noMultiLvlLbl val="0"/>
      </c:catAx>
      <c:valAx>
        <c:axId val="2028707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70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18</xdr:col>
      <xdr:colOff>908598</xdr:colOff>
      <xdr:row>23</xdr:row>
      <xdr:rowOff>55190</xdr:rowOff>
    </xdr:from>
    <xdr:to>
      <xdr:col>22</xdr:col>
      <xdr:colOff>1043438</xdr:colOff>
      <xdr:row>38</xdr:row>
      <xdr:rowOff>93761</xdr:rowOff>
    </xdr:to>
    <xdr:graphicFrame macro="">
      <xdr:nvGraphicFramePr>
        <xdr:cNvPr id="4" name="Chart 3">
          <a:extLst>
            <a:ext uri="{FF2B5EF4-FFF2-40B4-BE49-F238E27FC236}">
              <a16:creationId xmlns:a16="http://schemas.microsoft.com/office/drawing/2014/main" id="{CB760E93-B25E-C10D-54A1-ECFE99ED6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42015</xdr:colOff>
      <xdr:row>22</xdr:row>
      <xdr:rowOff>183563</xdr:rowOff>
    </xdr:from>
    <xdr:to>
      <xdr:col>25</xdr:col>
      <xdr:colOff>1174750</xdr:colOff>
      <xdr:row>33</xdr:row>
      <xdr:rowOff>41089</xdr:rowOff>
    </xdr:to>
    <xdr:graphicFrame macro="">
      <xdr:nvGraphicFramePr>
        <xdr:cNvPr id="3" name="Chart 2">
          <a:extLst>
            <a:ext uri="{FF2B5EF4-FFF2-40B4-BE49-F238E27FC236}">
              <a16:creationId xmlns:a16="http://schemas.microsoft.com/office/drawing/2014/main" id="{24C63FE0-AF6D-C7C9-F7D3-BC7E0B399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52506</xdr:colOff>
      <xdr:row>40</xdr:row>
      <xdr:rowOff>83393</xdr:rowOff>
    </xdr:from>
    <xdr:to>
      <xdr:col>22</xdr:col>
      <xdr:colOff>1048190</xdr:colOff>
      <xdr:row>49</xdr:row>
      <xdr:rowOff>7893</xdr:rowOff>
    </xdr:to>
    <xdr:graphicFrame macro="">
      <xdr:nvGraphicFramePr>
        <xdr:cNvPr id="8" name="Chart 7">
          <a:extLst>
            <a:ext uri="{FF2B5EF4-FFF2-40B4-BE49-F238E27FC236}">
              <a16:creationId xmlns:a16="http://schemas.microsoft.com/office/drawing/2014/main" id="{7008CB8D-ACC1-AB9E-6312-4062F8261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187984</xdr:colOff>
      <xdr:row>119</xdr:row>
      <xdr:rowOff>112163</xdr:rowOff>
    </xdr:from>
    <xdr:to>
      <xdr:col>8</xdr:col>
      <xdr:colOff>547608</xdr:colOff>
      <xdr:row>134</xdr:row>
      <xdr:rowOff>120462</xdr:rowOff>
    </xdr:to>
    <xdr:graphicFrame macro="">
      <xdr:nvGraphicFramePr>
        <xdr:cNvPr id="9" name="Chart 8">
          <a:extLst>
            <a:ext uri="{FF2B5EF4-FFF2-40B4-BE49-F238E27FC236}">
              <a16:creationId xmlns:a16="http://schemas.microsoft.com/office/drawing/2014/main" id="{7E448963-7DFF-0B73-6AE7-08F85E4E1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118827</xdr:colOff>
      <xdr:row>115</xdr:row>
      <xdr:rowOff>168746</xdr:rowOff>
    </xdr:from>
    <xdr:to>
      <xdr:col>11</xdr:col>
      <xdr:colOff>1188897</xdr:colOff>
      <xdr:row>130</xdr:row>
      <xdr:rowOff>126748</xdr:rowOff>
    </xdr:to>
    <xdr:graphicFrame macro="">
      <xdr:nvGraphicFramePr>
        <xdr:cNvPr id="10" name="Chart 9">
          <a:extLst>
            <a:ext uri="{FF2B5EF4-FFF2-40B4-BE49-F238E27FC236}">
              <a16:creationId xmlns:a16="http://schemas.microsoft.com/office/drawing/2014/main" id="{94C4535B-2A2A-E442-FEB7-CA5D080E3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27736</xdr:colOff>
      <xdr:row>149</xdr:row>
      <xdr:rowOff>175756</xdr:rowOff>
    </xdr:from>
    <xdr:to>
      <xdr:col>10</xdr:col>
      <xdr:colOff>395599</xdr:colOff>
      <xdr:row>164</xdr:row>
      <xdr:rowOff>167289</xdr:rowOff>
    </xdr:to>
    <xdr:graphicFrame macro="">
      <xdr:nvGraphicFramePr>
        <xdr:cNvPr id="11" name="Chart 10">
          <a:extLst>
            <a:ext uri="{FF2B5EF4-FFF2-40B4-BE49-F238E27FC236}">
              <a16:creationId xmlns:a16="http://schemas.microsoft.com/office/drawing/2014/main" id="{14FA7FBA-DC17-4C9D-31F6-B456060C0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348397</xdr:colOff>
      <xdr:row>57</xdr:row>
      <xdr:rowOff>47228</xdr:rowOff>
    </xdr:from>
    <xdr:to>
      <xdr:col>21</xdr:col>
      <xdr:colOff>985393</xdr:colOff>
      <xdr:row>72</xdr:row>
      <xdr:rowOff>12304</xdr:rowOff>
    </xdr:to>
    <xdr:graphicFrame macro="">
      <xdr:nvGraphicFramePr>
        <xdr:cNvPr id="12" name="Chart 11">
          <a:extLst>
            <a:ext uri="{FF2B5EF4-FFF2-40B4-BE49-F238E27FC236}">
              <a16:creationId xmlns:a16="http://schemas.microsoft.com/office/drawing/2014/main" id="{B018D8E2-F9A1-B19C-7F71-C350246CC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217760</xdr:colOff>
      <xdr:row>14</xdr:row>
      <xdr:rowOff>16934</xdr:rowOff>
    </xdr:from>
    <xdr:to>
      <xdr:col>20</xdr:col>
      <xdr:colOff>575734</xdr:colOff>
      <xdr:row>39</xdr:row>
      <xdr:rowOff>175327</xdr:rowOff>
    </xdr:to>
    <xdr:graphicFrame macro="">
      <xdr:nvGraphicFramePr>
        <xdr:cNvPr id="2" name="Chart 1">
          <a:extLst>
            <a:ext uri="{FF2B5EF4-FFF2-40B4-BE49-F238E27FC236}">
              <a16:creationId xmlns:a16="http://schemas.microsoft.com/office/drawing/2014/main" id="{B05F3F75-52CA-4F2C-B785-8FD57DCFA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25650</xdr:colOff>
      <xdr:row>8</xdr:row>
      <xdr:rowOff>27640</xdr:rowOff>
    </xdr:from>
    <xdr:to>
      <xdr:col>2</xdr:col>
      <xdr:colOff>563038</xdr:colOff>
      <xdr:row>40</xdr:row>
      <xdr:rowOff>131569</xdr:rowOff>
    </xdr:to>
    <mc:AlternateContent xmlns:mc="http://schemas.openxmlformats.org/markup-compatibility/2006" xmlns:a14="http://schemas.microsoft.com/office/drawing/2010/main">
      <mc:Choice Requires="a14">
        <xdr:graphicFrame macro="">
          <xdr:nvGraphicFramePr>
            <xdr:cNvPr id="4" name="Sales Rep">
              <a:extLst>
                <a:ext uri="{FF2B5EF4-FFF2-40B4-BE49-F238E27FC236}">
                  <a16:creationId xmlns:a16="http://schemas.microsoft.com/office/drawing/2014/main" id="{C86DFE23-296B-D18D-75F7-FAB506F02237}"/>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25650" y="1532825"/>
              <a:ext cx="1760351" cy="6124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47217</xdr:colOff>
      <xdr:row>22</xdr:row>
      <xdr:rowOff>20292</xdr:rowOff>
    </xdr:from>
    <xdr:to>
      <xdr:col>25</xdr:col>
      <xdr:colOff>427784</xdr:colOff>
      <xdr:row>35</xdr:row>
      <xdr:rowOff>131437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F6A2991-F867-C686-E4FD-A8B3634C38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837931" y="4011721"/>
              <a:ext cx="2207812" cy="2469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72475</xdr:colOff>
      <xdr:row>17</xdr:row>
      <xdr:rowOff>76473</xdr:rowOff>
    </xdr:from>
    <xdr:to>
      <xdr:col>28</xdr:col>
      <xdr:colOff>374875</xdr:colOff>
      <xdr:row>21</xdr:row>
      <xdr:rowOff>166703</xdr:rowOff>
    </xdr:to>
    <mc:AlternateContent xmlns:mc="http://schemas.openxmlformats.org/markup-compatibility/2006" xmlns:a14="http://schemas.microsoft.com/office/drawing/2010/main">
      <mc:Choice Requires="a14">
        <xdr:graphicFrame macro="">
          <xdr:nvGraphicFramePr>
            <xdr:cNvPr id="6" name="Customer Type">
              <a:extLst>
                <a:ext uri="{FF2B5EF4-FFF2-40B4-BE49-F238E27FC236}">
                  <a16:creationId xmlns:a16="http://schemas.microsoft.com/office/drawing/2014/main" id="{C6E6E86D-C86C-2EDE-95FE-C4369EF93B07}"/>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2863189" y="3160759"/>
              <a:ext cx="3956890" cy="815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446238</xdr:colOff>
      <xdr:row>22</xdr:row>
      <xdr:rowOff>31202</xdr:rowOff>
    </xdr:from>
    <xdr:to>
      <xdr:col>28</xdr:col>
      <xdr:colOff>347387</xdr:colOff>
      <xdr:row>35</xdr:row>
      <xdr:rowOff>133104</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A9C8C279-FA5E-AA90-AE40-224F4A66C3E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064197" y="4022631"/>
              <a:ext cx="1728394" cy="2460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5220</xdr:colOff>
      <xdr:row>7</xdr:row>
      <xdr:rowOff>185059</xdr:rowOff>
    </xdr:from>
    <xdr:to>
      <xdr:col>28</xdr:col>
      <xdr:colOff>94041</xdr:colOff>
      <xdr:row>17</xdr:row>
      <xdr:rowOff>78835</xdr:rowOff>
    </xdr:to>
    <mc:AlternateContent xmlns:mc="http://schemas.openxmlformats.org/markup-compatibility/2006" xmlns:a14="http://schemas.microsoft.com/office/drawing/2010/main">
      <mc:Choice Requires="a14">
        <xdr:graphicFrame macro="">
          <xdr:nvGraphicFramePr>
            <xdr:cNvPr id="9" name="Day">
              <a:extLst>
                <a:ext uri="{FF2B5EF4-FFF2-40B4-BE49-F238E27FC236}">
                  <a16:creationId xmlns:a16="http://schemas.microsoft.com/office/drawing/2014/main" id="{84EC13C3-A063-1D9D-5C5B-9FBB1359F5A4}"/>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2841111" y="1502096"/>
              <a:ext cx="3762930" cy="1775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545437</xdr:colOff>
      <xdr:row>13</xdr:row>
      <xdr:rowOff>172048</xdr:rowOff>
    </xdr:from>
    <xdr:to>
      <xdr:col>11</xdr:col>
      <xdr:colOff>263718</xdr:colOff>
      <xdr:row>40</xdr:row>
      <xdr:rowOff>164800</xdr:rowOff>
    </xdr:to>
    <xdr:graphicFrame macro="">
      <xdr:nvGraphicFramePr>
        <xdr:cNvPr id="10" name="Chart 9">
          <a:extLst>
            <a:ext uri="{FF2B5EF4-FFF2-40B4-BE49-F238E27FC236}">
              <a16:creationId xmlns:a16="http://schemas.microsoft.com/office/drawing/2014/main" id="{57968C45-2DCE-45F3-B6EE-F0E7C8163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562131</xdr:colOff>
      <xdr:row>1</xdr:row>
      <xdr:rowOff>166557</xdr:rowOff>
    </xdr:from>
    <xdr:to>
      <xdr:col>19</xdr:col>
      <xdr:colOff>416394</xdr:colOff>
      <xdr:row>5</xdr:row>
      <xdr:rowOff>31230</xdr:rowOff>
    </xdr:to>
    <xdr:sp macro="" textlink="">
      <xdr:nvSpPr>
        <xdr:cNvPr id="13" name="TextBox 12">
          <a:extLst>
            <a:ext uri="{FF2B5EF4-FFF2-40B4-BE49-F238E27FC236}">
              <a16:creationId xmlns:a16="http://schemas.microsoft.com/office/drawing/2014/main" id="{477A1FB9-35FC-5D06-F93C-430A0A01CC09}"/>
            </a:ext>
          </a:extLst>
        </xdr:cNvPr>
        <xdr:cNvSpPr txBox="1"/>
      </xdr:nvSpPr>
      <xdr:spPr>
        <a:xfrm>
          <a:off x="3018852" y="353934"/>
          <a:ext cx="9066968" cy="614181"/>
        </a:xfrm>
        <a:prstGeom prst="rect">
          <a:avLst/>
        </a:prstGeom>
        <a:ln w="9525" cmpd="sng">
          <a:noFill/>
        </a:ln>
      </xdr:spPr>
      <xdr:style>
        <a:lnRef idx="0">
          <a:scrgbClr r="0" g="0" b="0"/>
        </a:lnRef>
        <a:fillRef idx="1003">
          <a:schemeClr val="dk2"/>
        </a:fillRef>
        <a:effectRef idx="0">
          <a:scrgbClr r="0" g="0" b="0"/>
        </a:effectRef>
        <a:fontRef idx="minor">
          <a:schemeClr val="dk1"/>
        </a:fontRef>
      </xdr:style>
      <xdr:txBody>
        <a:bodyPr vertOverflow="clip" horzOverflow="clip" wrap="square" rtlCol="0" anchor="t"/>
        <a:lstStyle/>
        <a:p>
          <a:r>
            <a:rPr lang="en-IN" sz="4400">
              <a:solidFill>
                <a:schemeClr val="bg2"/>
              </a:solidFill>
            </a:rPr>
            <a:t>EMPLOYES</a:t>
          </a:r>
          <a:r>
            <a:rPr lang="en-IN" sz="4400" baseline="0">
              <a:solidFill>
                <a:schemeClr val="bg2"/>
              </a:solidFill>
            </a:rPr>
            <a:t> PERFORMACE DASHBOARD </a:t>
          </a:r>
          <a:endParaRPr lang="en-IN" sz="4400">
            <a:solidFill>
              <a:schemeClr val="bg2"/>
            </a:solidFill>
          </a:endParaRPr>
        </a:p>
      </xdr:txBody>
    </xdr:sp>
    <xdr:clientData/>
  </xdr:twoCellAnchor>
  <xdr:twoCellAnchor>
    <xdr:from>
      <xdr:col>30</xdr:col>
      <xdr:colOff>589643</xdr:colOff>
      <xdr:row>10</xdr:row>
      <xdr:rowOff>75595</xdr:rowOff>
    </xdr:from>
    <xdr:to>
      <xdr:col>32</xdr:col>
      <xdr:colOff>559404</xdr:colOff>
      <xdr:row>13</xdr:row>
      <xdr:rowOff>173869</xdr:rowOff>
    </xdr:to>
    <xdr:sp macro="" textlink="">
      <xdr:nvSpPr>
        <xdr:cNvPr id="17" name="TextBox 16">
          <a:extLst>
            <a:ext uri="{FF2B5EF4-FFF2-40B4-BE49-F238E27FC236}">
              <a16:creationId xmlns:a16="http://schemas.microsoft.com/office/drawing/2014/main" id="{DBF2DC3A-4E6E-0CC7-0E1E-AB8F9A813688}"/>
            </a:ext>
          </a:extLst>
        </xdr:cNvPr>
        <xdr:cNvSpPr txBox="1"/>
      </xdr:nvSpPr>
      <xdr:spPr>
        <a:xfrm>
          <a:off x="18959286" y="1889881"/>
          <a:ext cx="1194404" cy="642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114300</xdr:colOff>
      <xdr:row>8</xdr:row>
      <xdr:rowOff>19185</xdr:rowOff>
    </xdr:from>
    <xdr:to>
      <xdr:col>19</xdr:col>
      <xdr:colOff>592846</xdr:colOff>
      <xdr:row>13</xdr:row>
      <xdr:rowOff>115111</xdr:rowOff>
    </xdr:to>
    <xdr:sp macro="" textlink="">
      <xdr:nvSpPr>
        <xdr:cNvPr id="18" name="Rectangle: Rounded Corners 17">
          <a:extLst>
            <a:ext uri="{FF2B5EF4-FFF2-40B4-BE49-F238E27FC236}">
              <a16:creationId xmlns:a16="http://schemas.microsoft.com/office/drawing/2014/main" id="{7B6B8A1C-150D-0FE0-E9A5-646CDE044EDA}"/>
            </a:ext>
          </a:extLst>
        </xdr:cNvPr>
        <xdr:cNvSpPr/>
      </xdr:nvSpPr>
      <xdr:spPr>
        <a:xfrm>
          <a:off x="6819900" y="1543185"/>
          <a:ext cx="5355346" cy="10484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165100</xdr:colOff>
      <xdr:row>8</xdr:row>
      <xdr:rowOff>12701</xdr:rowOff>
    </xdr:from>
    <xdr:to>
      <xdr:col>19</xdr:col>
      <xdr:colOff>440267</xdr:colOff>
      <xdr:row>13</xdr:row>
      <xdr:rowOff>33866</xdr:rowOff>
    </xdr:to>
    <xdr:sp macro="" textlink="">
      <xdr:nvSpPr>
        <xdr:cNvPr id="19" name="TextBox 18">
          <a:extLst>
            <a:ext uri="{FF2B5EF4-FFF2-40B4-BE49-F238E27FC236}">
              <a16:creationId xmlns:a16="http://schemas.microsoft.com/office/drawing/2014/main" id="{BA619AE0-B9AD-D58B-BA7D-C81412D33511}"/>
            </a:ext>
          </a:extLst>
        </xdr:cNvPr>
        <xdr:cNvSpPr txBox="1"/>
      </xdr:nvSpPr>
      <xdr:spPr>
        <a:xfrm>
          <a:off x="6870700" y="1502834"/>
          <a:ext cx="5151967" cy="95249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accent2">
                  <a:lumMod val="40000"/>
                  <a:lumOff val="60000"/>
                </a:schemeClr>
              </a:solidFill>
            </a:rPr>
            <a:t>TOTAL REVENUE</a:t>
          </a:r>
        </a:p>
      </xdr:txBody>
    </xdr:sp>
    <xdr:clientData/>
  </xdr:twoCellAnchor>
  <xdr:twoCellAnchor>
    <xdr:from>
      <xdr:col>14</xdr:col>
      <xdr:colOff>109253</xdr:colOff>
      <xdr:row>10</xdr:row>
      <xdr:rowOff>66336</xdr:rowOff>
    </xdr:from>
    <xdr:to>
      <xdr:col>17</xdr:col>
      <xdr:colOff>378704</xdr:colOff>
      <xdr:row>13</xdr:row>
      <xdr:rowOff>40306</xdr:rowOff>
    </xdr:to>
    <xdr:sp macro="" textlink="$M$22">
      <xdr:nvSpPr>
        <xdr:cNvPr id="23" name="TextBox 22">
          <a:extLst>
            <a:ext uri="{FF2B5EF4-FFF2-40B4-BE49-F238E27FC236}">
              <a16:creationId xmlns:a16="http://schemas.microsoft.com/office/drawing/2014/main" id="{F3072DFA-4A88-B043-DF59-7051227C9D86}"/>
            </a:ext>
          </a:extLst>
        </xdr:cNvPr>
        <xdr:cNvSpPr txBox="1"/>
      </xdr:nvSpPr>
      <xdr:spPr>
        <a:xfrm>
          <a:off x="8643653" y="1971336"/>
          <a:ext cx="2098251" cy="545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B597F4-3382-4706-A1AD-EE15B5EE8557}" type="TxLink">
            <a:rPr lang="en-US" sz="3600" b="0" i="0" u="none" strike="noStrike">
              <a:solidFill>
                <a:schemeClr val="bg2"/>
              </a:solidFill>
              <a:latin typeface="Aptos Narrow"/>
            </a:rPr>
            <a:pPr/>
            <a:t>172093</a:t>
          </a:fld>
          <a:endParaRPr lang="en-IN" sz="3600">
            <a:solidFill>
              <a:schemeClr val="bg2"/>
            </a:solidFill>
          </a:endParaRPr>
        </a:p>
      </xdr:txBody>
    </xdr:sp>
    <xdr:clientData/>
  </xdr:twoCellAnchor>
  <xdr:twoCellAnchor>
    <xdr:from>
      <xdr:col>2</xdr:col>
      <xdr:colOff>591766</xdr:colOff>
      <xdr:row>7</xdr:row>
      <xdr:rowOff>173275</xdr:rowOff>
    </xdr:from>
    <xdr:to>
      <xdr:col>11</xdr:col>
      <xdr:colOff>165100</xdr:colOff>
      <xdr:row>13</xdr:row>
      <xdr:rowOff>92828</xdr:rowOff>
    </xdr:to>
    <xdr:sp macro="" textlink="">
      <xdr:nvSpPr>
        <xdr:cNvPr id="25" name="Rectangle: Rounded Corners 24">
          <a:extLst>
            <a:ext uri="{FF2B5EF4-FFF2-40B4-BE49-F238E27FC236}">
              <a16:creationId xmlns:a16="http://schemas.microsoft.com/office/drawing/2014/main" id="{54402096-45B3-77F9-12D4-6B7AE1C2DDCD}"/>
            </a:ext>
          </a:extLst>
        </xdr:cNvPr>
        <xdr:cNvSpPr/>
      </xdr:nvSpPr>
      <xdr:spPr>
        <a:xfrm>
          <a:off x="1810966" y="1506775"/>
          <a:ext cx="5059734" cy="10625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205440</xdr:colOff>
      <xdr:row>8</xdr:row>
      <xdr:rowOff>38100</xdr:rowOff>
    </xdr:from>
    <xdr:to>
      <xdr:col>11</xdr:col>
      <xdr:colOff>88900</xdr:colOff>
      <xdr:row>16</xdr:row>
      <xdr:rowOff>168089</xdr:rowOff>
    </xdr:to>
    <xdr:sp macro="" textlink="">
      <xdr:nvSpPr>
        <xdr:cNvPr id="26" name="TextBox 25">
          <a:extLst>
            <a:ext uri="{FF2B5EF4-FFF2-40B4-BE49-F238E27FC236}">
              <a16:creationId xmlns:a16="http://schemas.microsoft.com/office/drawing/2014/main" id="{1B2F6126-1926-D61A-9A38-ECB0655F705F}"/>
            </a:ext>
          </a:extLst>
        </xdr:cNvPr>
        <xdr:cNvSpPr txBox="1"/>
      </xdr:nvSpPr>
      <xdr:spPr>
        <a:xfrm>
          <a:off x="2034240" y="1562100"/>
          <a:ext cx="4760260" cy="165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400" b="0" i="0" u="none" strike="noStrike">
              <a:solidFill>
                <a:schemeClr val="accent2">
                  <a:lumMod val="40000"/>
                  <a:lumOff val="60000"/>
                </a:schemeClr>
              </a:solidFill>
              <a:latin typeface="Aptos Narrow"/>
              <a:ea typeface="+mn-ea"/>
              <a:cs typeface="+mn-cs"/>
            </a:rPr>
            <a:t>TOTAL</a:t>
          </a:r>
          <a:r>
            <a:rPr lang="en-IN" sz="2400" b="0" i="0" u="none" strike="noStrike" baseline="0">
              <a:solidFill>
                <a:schemeClr val="accent2">
                  <a:lumMod val="40000"/>
                  <a:lumOff val="60000"/>
                </a:schemeClr>
              </a:solidFill>
              <a:latin typeface="Aptos Narrow"/>
              <a:ea typeface="+mn-ea"/>
              <a:cs typeface="+mn-cs"/>
            </a:rPr>
            <a:t> DEALS CLOSED</a:t>
          </a:r>
          <a:endParaRPr lang="en-IN" sz="2400" b="0" i="0" u="none" strike="noStrike">
            <a:solidFill>
              <a:schemeClr val="accent2">
                <a:lumMod val="40000"/>
                <a:lumOff val="60000"/>
              </a:schemeClr>
            </a:solidFill>
            <a:latin typeface="Aptos Narrow"/>
            <a:ea typeface="+mn-ea"/>
            <a:cs typeface="+mn-cs"/>
          </a:endParaRPr>
        </a:p>
      </xdr:txBody>
    </xdr:sp>
    <xdr:clientData/>
  </xdr:twoCellAnchor>
  <xdr:twoCellAnchor>
    <xdr:from>
      <xdr:col>6</xdr:col>
      <xdr:colOff>253222</xdr:colOff>
      <xdr:row>10</xdr:row>
      <xdr:rowOff>31936</xdr:rowOff>
    </xdr:from>
    <xdr:to>
      <xdr:col>9</xdr:col>
      <xdr:colOff>177022</xdr:colOff>
      <xdr:row>13</xdr:row>
      <xdr:rowOff>649</xdr:rowOff>
    </xdr:to>
    <xdr:sp macro="" textlink="$V$25">
      <xdr:nvSpPr>
        <xdr:cNvPr id="27" name="TextBox 26">
          <a:extLst>
            <a:ext uri="{FF2B5EF4-FFF2-40B4-BE49-F238E27FC236}">
              <a16:creationId xmlns:a16="http://schemas.microsoft.com/office/drawing/2014/main" id="{8A4170D3-ACE2-7DC4-BE2C-3D301F7A2B99}"/>
            </a:ext>
          </a:extLst>
        </xdr:cNvPr>
        <xdr:cNvSpPr txBox="1"/>
      </xdr:nvSpPr>
      <xdr:spPr>
        <a:xfrm>
          <a:off x="3907712" y="1846222"/>
          <a:ext cx="1751045" cy="512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2B1F27F-0256-46B3-855E-B83B81FF40DC}" type="TxLink">
            <a:rPr lang="en-US" sz="3600" b="0" i="0" u="none" strike="noStrike">
              <a:solidFill>
                <a:schemeClr val="bg2"/>
              </a:solidFill>
              <a:latin typeface="Aptos Narrow"/>
              <a:ea typeface="+mn-ea"/>
              <a:cs typeface="+mn-cs"/>
            </a:rPr>
            <a:pPr marL="0" indent="0"/>
            <a:t>160</a:t>
          </a:fld>
          <a:endParaRPr lang="en-IN" sz="5400" b="0" i="0" u="none" strike="noStrike">
            <a:solidFill>
              <a:schemeClr val="bg2"/>
            </a:solidFill>
            <a:latin typeface="Aptos Narrow"/>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ak Khandelwal" refreshedDate="46040.525108912036" createdVersion="8" refreshedVersion="8" minRefreshableVersion="3" recordCount="30" xr:uid="{A0391882-55D8-4F86-8399-2F9AF80CFDFF}">
  <cacheSource type="worksheet">
    <worksheetSource ref="A1:H31" sheet="Excel cleaned data"/>
  </cacheSource>
  <cacheFields count="8">
    <cacheField name="Date" numFmtId="14">
      <sharedItems containsSemiMixedTypes="0" containsNonDate="0" containsDate="1" containsString="0" minDate="2025-01-01T00:00:00" maxDate="2025-01-31T00:00:00"/>
    </cacheField>
    <cacheField name="Day" numFmtId="1">
      <sharedItems containsSemiMixedTypes="0" containsString="0" containsNumber="1" containsInteger="1" minValue="1" maxValue="30"/>
    </cacheField>
    <cacheField name="Sales Rep" numFmtId="0">
      <sharedItems count="5">
        <s v="Sneha"/>
        <s v="Vikram"/>
        <s v="Anil"/>
        <s v="Priya"/>
        <s v="Rahul"/>
      </sharedItems>
    </cacheField>
    <cacheField name="Region" numFmtId="0">
      <sharedItems count="4">
        <s v="West"/>
        <s v="East"/>
        <s v="South"/>
        <s v="North"/>
      </sharedItems>
    </cacheField>
    <cacheField name="Deals Closed" numFmtId="0">
      <sharedItems containsSemiMixedTypes="0" containsString="0" containsNumber="1" containsInteger="1" minValue="1" maxValue="9"/>
    </cacheField>
    <cacheField name="Revenue" numFmtId="0">
      <sharedItems containsSemiMixedTypes="0" containsString="0" containsNumber="1" containsInteger="1" minValue="1206" maxValue="9996"/>
    </cacheField>
    <cacheField name="Customer Type" numFmtId="0">
      <sharedItems count="2">
        <s v="New"/>
        <s v="Returning"/>
      </sharedItems>
    </cacheField>
    <cacheField name="Produc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ak Khandelwal" refreshedDate="46040.525109606482" createdVersion="8" refreshedVersion="8" minRefreshableVersion="3" recordCount="30" xr:uid="{63DC9AD0-37E4-4636-98E0-E809176DDB6B}">
  <cacheSource type="worksheet">
    <worksheetSource ref="A1:H31" sheet="Excel cleaned data"/>
  </cacheSource>
  <cacheFields count="8">
    <cacheField name="Date" numFmtId="14">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Day" numFmtId="1">
      <sharedItems containsSemiMixedTypes="0" containsString="0" containsNumber="1" containsInteger="1" minValue="1" maxValue="30"/>
    </cacheField>
    <cacheField name="Sales Rep" numFmtId="0">
      <sharedItems count="5">
        <s v="Sneha"/>
        <s v="Vikram"/>
        <s v="Anil"/>
        <s v="Priya"/>
        <s v="Rahul"/>
      </sharedItems>
    </cacheField>
    <cacheField name="Region" numFmtId="0">
      <sharedItems/>
    </cacheField>
    <cacheField name="Deals Closed" numFmtId="0">
      <sharedItems containsSemiMixedTypes="0" containsString="0" containsNumber="1" containsInteger="1" minValue="1" maxValue="9"/>
    </cacheField>
    <cacheField name="Revenue" numFmtId="0">
      <sharedItems containsSemiMixedTypes="0" containsString="0" containsNumber="1" containsInteger="1" minValue="1206" maxValue="9996"/>
    </cacheField>
    <cacheField name="Customer Type" numFmtId="0">
      <sharedItems/>
    </cacheField>
    <cacheField name="Product"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ak Khandelwal" refreshedDate="46040.525109837959" createdVersion="8" refreshedVersion="8" minRefreshableVersion="3" recordCount="30" xr:uid="{1BED94E2-6BB4-46FA-AC36-2C62803ED6ED}">
  <cacheSource type="worksheet">
    <worksheetSource ref="A1:H31" sheet="Excel cleaned data"/>
  </cacheSource>
  <cacheFields count="10">
    <cacheField name="Date" numFmtId="14">
      <sharedItems containsSemiMixedTypes="0" containsNonDate="0" containsDate="1" containsString="0" minDate="2025-01-01T00:00:00" maxDate="2025-01-31T00:00:00"/>
    </cacheField>
    <cacheField name="Day" numFmtId="1">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cacheField>
    <cacheField name="Sales Rep" numFmtId="0">
      <sharedItems count="5">
        <s v="Sneha"/>
        <s v="Vikram"/>
        <s v="Anil"/>
        <s v="Priya"/>
        <s v="Rahul"/>
      </sharedItems>
    </cacheField>
    <cacheField name="Region" numFmtId="0">
      <sharedItems count="4">
        <s v="West"/>
        <s v="East"/>
        <s v="South"/>
        <s v="North"/>
      </sharedItems>
    </cacheField>
    <cacheField name="Deals Closed" numFmtId="0">
      <sharedItems containsSemiMixedTypes="0" containsString="0" containsNumber="1" containsInteger="1" minValue="1" maxValue="9"/>
    </cacheField>
    <cacheField name="Revenue" numFmtId="0">
      <sharedItems containsSemiMixedTypes="0" containsString="0" containsNumber="1" containsInteger="1" minValue="1206" maxValue="9996" count="30">
        <n v="3568"/>
        <n v="6463"/>
        <n v="3027"/>
        <n v="3695"/>
        <n v="6258"/>
        <n v="7432"/>
        <n v="7736"/>
        <n v="1391"/>
        <n v="6892"/>
        <n v="4561"/>
        <n v="7184"/>
        <n v="4099"/>
        <n v="7278"/>
        <n v="9392"/>
        <n v="4104"/>
        <n v="8215"/>
        <n v="3454"/>
        <n v="9996"/>
        <n v="3731"/>
        <n v="9154"/>
        <n v="6056"/>
        <n v="9110"/>
        <n v="4840"/>
        <n v="2028"/>
        <n v="8385"/>
        <n v="1502"/>
        <n v="7910"/>
        <n v="7938"/>
        <n v="5488"/>
        <n v="1206"/>
      </sharedItems>
    </cacheField>
    <cacheField name="Customer Type" numFmtId="0">
      <sharedItems count="2">
        <s v="New"/>
        <s v="Returning"/>
      </sharedItems>
    </cacheField>
    <cacheField name="Product" numFmtId="0">
      <sharedItems count="3">
        <s v="Pro"/>
        <s v="Basic"/>
        <s v="Enterprise"/>
      </sharedItems>
    </cacheField>
    <cacheField name="Reveune Per Deal" numFmtId="0" formula="Revenue/'Deals Closed'" databaseField="0"/>
    <cacheField name="Per Of Total Reveune " numFmtId="0" formula="Revenue/ 172093" databaseField="0"/>
  </cacheFields>
  <extLst>
    <ext xmlns:x14="http://schemas.microsoft.com/office/spreadsheetml/2009/9/main" uri="{725AE2AE-9491-48be-B2B4-4EB974FC3084}">
      <x14:pivotCacheDefinition pivotCacheId="1888389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5-01-01T00:00:00"/>
    <n v="1"/>
    <x v="0"/>
    <x v="0"/>
    <n v="4"/>
    <n v="3568"/>
    <x v="0"/>
    <s v="Pro"/>
  </r>
  <r>
    <d v="2025-01-02T00:00:00"/>
    <n v="2"/>
    <x v="1"/>
    <x v="1"/>
    <n v="7"/>
    <n v="6463"/>
    <x v="1"/>
    <s v="Pro"/>
  </r>
  <r>
    <d v="2025-01-03T00:00:00"/>
    <n v="3"/>
    <x v="2"/>
    <x v="2"/>
    <n v="8"/>
    <n v="3027"/>
    <x v="1"/>
    <s v="Basic"/>
  </r>
  <r>
    <d v="2025-01-04T00:00:00"/>
    <n v="4"/>
    <x v="1"/>
    <x v="2"/>
    <n v="3"/>
    <n v="3695"/>
    <x v="1"/>
    <s v="Pro"/>
  </r>
  <r>
    <d v="2025-01-05T00:00:00"/>
    <n v="5"/>
    <x v="1"/>
    <x v="1"/>
    <n v="1"/>
    <n v="6258"/>
    <x v="0"/>
    <s v="Basic"/>
  </r>
  <r>
    <d v="2025-01-06T00:00:00"/>
    <n v="6"/>
    <x v="3"/>
    <x v="2"/>
    <n v="4"/>
    <n v="7432"/>
    <x v="0"/>
    <s v="Basic"/>
  </r>
  <r>
    <d v="2025-01-07T00:00:00"/>
    <n v="7"/>
    <x v="2"/>
    <x v="1"/>
    <n v="2"/>
    <n v="7736"/>
    <x v="0"/>
    <s v="Pro"/>
  </r>
  <r>
    <d v="2025-01-08T00:00:00"/>
    <n v="8"/>
    <x v="2"/>
    <x v="0"/>
    <n v="8"/>
    <n v="1391"/>
    <x v="1"/>
    <s v="Pro"/>
  </r>
  <r>
    <d v="2025-01-09T00:00:00"/>
    <n v="9"/>
    <x v="2"/>
    <x v="1"/>
    <n v="4"/>
    <n v="6892"/>
    <x v="0"/>
    <s v="Pro"/>
  </r>
  <r>
    <d v="2025-01-10T00:00:00"/>
    <n v="10"/>
    <x v="1"/>
    <x v="0"/>
    <n v="2"/>
    <n v="4561"/>
    <x v="0"/>
    <s v="Enterprise"/>
  </r>
  <r>
    <d v="2025-01-11T00:00:00"/>
    <n v="11"/>
    <x v="0"/>
    <x v="0"/>
    <n v="6"/>
    <n v="7184"/>
    <x v="1"/>
    <s v="Pro"/>
  </r>
  <r>
    <d v="2025-01-12T00:00:00"/>
    <n v="12"/>
    <x v="2"/>
    <x v="3"/>
    <n v="6"/>
    <n v="4099"/>
    <x v="0"/>
    <s v="Enterprise"/>
  </r>
  <r>
    <d v="2025-01-13T00:00:00"/>
    <n v="13"/>
    <x v="1"/>
    <x v="1"/>
    <n v="4"/>
    <n v="7278"/>
    <x v="1"/>
    <s v="Basic"/>
  </r>
  <r>
    <d v="2025-01-14T00:00:00"/>
    <n v="14"/>
    <x v="3"/>
    <x v="3"/>
    <n v="6"/>
    <n v="9392"/>
    <x v="1"/>
    <s v="Enterprise"/>
  </r>
  <r>
    <d v="2025-01-15T00:00:00"/>
    <n v="15"/>
    <x v="0"/>
    <x v="1"/>
    <n v="2"/>
    <n v="4104"/>
    <x v="1"/>
    <s v="Pro"/>
  </r>
  <r>
    <d v="2025-01-16T00:00:00"/>
    <n v="16"/>
    <x v="3"/>
    <x v="1"/>
    <n v="2"/>
    <n v="8215"/>
    <x v="0"/>
    <s v="Basic"/>
  </r>
  <r>
    <d v="2025-01-17T00:00:00"/>
    <n v="17"/>
    <x v="0"/>
    <x v="3"/>
    <n v="4"/>
    <n v="3454"/>
    <x v="0"/>
    <s v="Basic"/>
  </r>
  <r>
    <d v="2025-01-18T00:00:00"/>
    <n v="18"/>
    <x v="1"/>
    <x v="3"/>
    <n v="8"/>
    <n v="9996"/>
    <x v="0"/>
    <s v="Basic"/>
  </r>
  <r>
    <d v="2025-01-19T00:00:00"/>
    <n v="19"/>
    <x v="4"/>
    <x v="1"/>
    <n v="7"/>
    <n v="3731"/>
    <x v="0"/>
    <s v="Enterprise"/>
  </r>
  <r>
    <d v="2025-01-20T00:00:00"/>
    <n v="20"/>
    <x v="0"/>
    <x v="2"/>
    <n v="9"/>
    <n v="9154"/>
    <x v="0"/>
    <s v="Pro"/>
  </r>
  <r>
    <d v="2025-01-21T00:00:00"/>
    <n v="21"/>
    <x v="3"/>
    <x v="0"/>
    <n v="8"/>
    <n v="6056"/>
    <x v="0"/>
    <s v="Basic"/>
  </r>
  <r>
    <d v="2025-01-22T00:00:00"/>
    <n v="22"/>
    <x v="1"/>
    <x v="3"/>
    <n v="5"/>
    <n v="9110"/>
    <x v="0"/>
    <s v="Basic"/>
  </r>
  <r>
    <d v="2025-01-23T00:00:00"/>
    <n v="23"/>
    <x v="0"/>
    <x v="0"/>
    <n v="2"/>
    <n v="4840"/>
    <x v="1"/>
    <s v="Basic"/>
  </r>
  <r>
    <d v="2025-01-24T00:00:00"/>
    <n v="24"/>
    <x v="4"/>
    <x v="2"/>
    <n v="5"/>
    <n v="2028"/>
    <x v="0"/>
    <s v="Enterprise"/>
  </r>
  <r>
    <d v="2025-01-25T00:00:00"/>
    <n v="25"/>
    <x v="4"/>
    <x v="2"/>
    <n v="8"/>
    <n v="8385"/>
    <x v="1"/>
    <s v="Enterprise"/>
  </r>
  <r>
    <d v="2025-01-26T00:00:00"/>
    <n v="26"/>
    <x v="2"/>
    <x v="2"/>
    <n v="9"/>
    <n v="1502"/>
    <x v="0"/>
    <s v="Pro"/>
  </r>
  <r>
    <d v="2025-01-27T00:00:00"/>
    <n v="27"/>
    <x v="2"/>
    <x v="3"/>
    <n v="9"/>
    <n v="7910"/>
    <x v="0"/>
    <s v="Enterprise"/>
  </r>
  <r>
    <d v="2025-01-28T00:00:00"/>
    <n v="28"/>
    <x v="3"/>
    <x v="2"/>
    <n v="1"/>
    <n v="7938"/>
    <x v="0"/>
    <s v="Basic"/>
  </r>
  <r>
    <d v="2025-01-29T00:00:00"/>
    <n v="29"/>
    <x v="0"/>
    <x v="3"/>
    <n v="9"/>
    <n v="5488"/>
    <x v="1"/>
    <s v="Pro"/>
  </r>
  <r>
    <d v="2025-01-30T00:00:00"/>
    <n v="30"/>
    <x v="0"/>
    <x v="2"/>
    <n v="7"/>
    <n v="1206"/>
    <x v="1"/>
    <s v="Basic"/>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n v="1"/>
    <x v="0"/>
    <s v="West"/>
    <n v="4"/>
    <n v="3568"/>
    <s v="New"/>
    <s v="Pro"/>
  </r>
  <r>
    <x v="1"/>
    <n v="2"/>
    <x v="1"/>
    <s v="East"/>
    <n v="7"/>
    <n v="6463"/>
    <s v="Returning"/>
    <s v="Pro"/>
  </r>
  <r>
    <x v="2"/>
    <n v="3"/>
    <x v="2"/>
    <s v="South"/>
    <n v="8"/>
    <n v="3027"/>
    <s v="Returning"/>
    <s v="Basic"/>
  </r>
  <r>
    <x v="3"/>
    <n v="4"/>
    <x v="1"/>
    <s v="South"/>
    <n v="3"/>
    <n v="3695"/>
    <s v="Returning"/>
    <s v="Pro"/>
  </r>
  <r>
    <x v="4"/>
    <n v="5"/>
    <x v="1"/>
    <s v="East"/>
    <n v="1"/>
    <n v="6258"/>
    <s v="New"/>
    <s v="Basic"/>
  </r>
  <r>
    <x v="5"/>
    <n v="6"/>
    <x v="3"/>
    <s v="South"/>
    <n v="4"/>
    <n v="7432"/>
    <s v="New"/>
    <s v="Basic"/>
  </r>
  <r>
    <x v="6"/>
    <n v="7"/>
    <x v="2"/>
    <s v="East"/>
    <n v="2"/>
    <n v="7736"/>
    <s v="New"/>
    <s v="Pro"/>
  </r>
  <r>
    <x v="7"/>
    <n v="8"/>
    <x v="2"/>
    <s v="West"/>
    <n v="8"/>
    <n v="1391"/>
    <s v="Returning"/>
    <s v="Pro"/>
  </r>
  <r>
    <x v="8"/>
    <n v="9"/>
    <x v="2"/>
    <s v="East"/>
    <n v="4"/>
    <n v="6892"/>
    <s v="New"/>
    <s v="Pro"/>
  </r>
  <r>
    <x v="9"/>
    <n v="10"/>
    <x v="1"/>
    <s v="West"/>
    <n v="2"/>
    <n v="4561"/>
    <s v="New"/>
    <s v="Enterprise"/>
  </r>
  <r>
    <x v="10"/>
    <n v="11"/>
    <x v="0"/>
    <s v="West"/>
    <n v="6"/>
    <n v="7184"/>
    <s v="Returning"/>
    <s v="Pro"/>
  </r>
  <r>
    <x v="11"/>
    <n v="12"/>
    <x v="2"/>
    <s v="North"/>
    <n v="6"/>
    <n v="4099"/>
    <s v="New"/>
    <s v="Enterprise"/>
  </r>
  <r>
    <x v="12"/>
    <n v="13"/>
    <x v="1"/>
    <s v="East"/>
    <n v="4"/>
    <n v="7278"/>
    <s v="Returning"/>
    <s v="Basic"/>
  </r>
  <r>
    <x v="13"/>
    <n v="14"/>
    <x v="3"/>
    <s v="North"/>
    <n v="6"/>
    <n v="9392"/>
    <s v="Returning"/>
    <s v="Enterprise"/>
  </r>
  <r>
    <x v="14"/>
    <n v="15"/>
    <x v="0"/>
    <s v="East"/>
    <n v="2"/>
    <n v="4104"/>
    <s v="Returning"/>
    <s v="Pro"/>
  </r>
  <r>
    <x v="15"/>
    <n v="16"/>
    <x v="3"/>
    <s v="East"/>
    <n v="2"/>
    <n v="8215"/>
    <s v="New"/>
    <s v="Basic"/>
  </r>
  <r>
    <x v="16"/>
    <n v="17"/>
    <x v="0"/>
    <s v="North"/>
    <n v="4"/>
    <n v="3454"/>
    <s v="New"/>
    <s v="Basic"/>
  </r>
  <r>
    <x v="17"/>
    <n v="18"/>
    <x v="1"/>
    <s v="North"/>
    <n v="8"/>
    <n v="9996"/>
    <s v="New"/>
    <s v="Basic"/>
  </r>
  <r>
    <x v="18"/>
    <n v="19"/>
    <x v="4"/>
    <s v="East"/>
    <n v="7"/>
    <n v="3731"/>
    <s v="New"/>
    <s v="Enterprise"/>
  </r>
  <r>
    <x v="19"/>
    <n v="20"/>
    <x v="0"/>
    <s v="South"/>
    <n v="9"/>
    <n v="9154"/>
    <s v="New"/>
    <s v="Pro"/>
  </r>
  <r>
    <x v="20"/>
    <n v="21"/>
    <x v="3"/>
    <s v="West"/>
    <n v="8"/>
    <n v="6056"/>
    <s v="New"/>
    <s v="Basic"/>
  </r>
  <r>
    <x v="21"/>
    <n v="22"/>
    <x v="1"/>
    <s v="North"/>
    <n v="5"/>
    <n v="9110"/>
    <s v="New"/>
    <s v="Basic"/>
  </r>
  <r>
    <x v="22"/>
    <n v="23"/>
    <x v="0"/>
    <s v="West"/>
    <n v="2"/>
    <n v="4840"/>
    <s v="Returning"/>
    <s v="Basic"/>
  </r>
  <r>
    <x v="23"/>
    <n v="24"/>
    <x v="4"/>
    <s v="South"/>
    <n v="5"/>
    <n v="2028"/>
    <s v="New"/>
    <s v="Enterprise"/>
  </r>
  <r>
    <x v="24"/>
    <n v="25"/>
    <x v="4"/>
    <s v="South"/>
    <n v="8"/>
    <n v="8385"/>
    <s v="Returning"/>
    <s v="Enterprise"/>
  </r>
  <r>
    <x v="25"/>
    <n v="26"/>
    <x v="2"/>
    <s v="South"/>
    <n v="9"/>
    <n v="1502"/>
    <s v="New"/>
    <s v="Pro"/>
  </r>
  <r>
    <x v="26"/>
    <n v="27"/>
    <x v="2"/>
    <s v="North"/>
    <n v="9"/>
    <n v="7910"/>
    <s v="New"/>
    <s v="Enterprise"/>
  </r>
  <r>
    <x v="27"/>
    <n v="28"/>
    <x v="3"/>
    <s v="South"/>
    <n v="1"/>
    <n v="7938"/>
    <s v="New"/>
    <s v="Basic"/>
  </r>
  <r>
    <x v="28"/>
    <n v="29"/>
    <x v="0"/>
    <s v="North"/>
    <n v="9"/>
    <n v="5488"/>
    <s v="Returning"/>
    <s v="Pro"/>
  </r>
  <r>
    <x v="29"/>
    <n v="30"/>
    <x v="0"/>
    <s v="South"/>
    <n v="7"/>
    <n v="1206"/>
    <s v="Returning"/>
    <s v="Basic"/>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5-01-01T00:00:00"/>
    <x v="0"/>
    <x v="0"/>
    <x v="0"/>
    <n v="4"/>
    <x v="0"/>
    <x v="0"/>
    <x v="0"/>
  </r>
  <r>
    <d v="2025-01-02T00:00:00"/>
    <x v="1"/>
    <x v="1"/>
    <x v="1"/>
    <n v="7"/>
    <x v="1"/>
    <x v="1"/>
    <x v="0"/>
  </r>
  <r>
    <d v="2025-01-03T00:00:00"/>
    <x v="2"/>
    <x v="2"/>
    <x v="2"/>
    <n v="8"/>
    <x v="2"/>
    <x v="1"/>
    <x v="1"/>
  </r>
  <r>
    <d v="2025-01-04T00:00:00"/>
    <x v="3"/>
    <x v="1"/>
    <x v="2"/>
    <n v="3"/>
    <x v="3"/>
    <x v="1"/>
    <x v="0"/>
  </r>
  <r>
    <d v="2025-01-05T00:00:00"/>
    <x v="4"/>
    <x v="1"/>
    <x v="1"/>
    <n v="1"/>
    <x v="4"/>
    <x v="0"/>
    <x v="1"/>
  </r>
  <r>
    <d v="2025-01-06T00:00:00"/>
    <x v="5"/>
    <x v="3"/>
    <x v="2"/>
    <n v="4"/>
    <x v="5"/>
    <x v="0"/>
    <x v="1"/>
  </r>
  <r>
    <d v="2025-01-07T00:00:00"/>
    <x v="6"/>
    <x v="2"/>
    <x v="1"/>
    <n v="2"/>
    <x v="6"/>
    <x v="0"/>
    <x v="0"/>
  </r>
  <r>
    <d v="2025-01-08T00:00:00"/>
    <x v="7"/>
    <x v="2"/>
    <x v="0"/>
    <n v="8"/>
    <x v="7"/>
    <x v="1"/>
    <x v="0"/>
  </r>
  <r>
    <d v="2025-01-09T00:00:00"/>
    <x v="8"/>
    <x v="2"/>
    <x v="1"/>
    <n v="4"/>
    <x v="8"/>
    <x v="0"/>
    <x v="0"/>
  </r>
  <r>
    <d v="2025-01-10T00:00:00"/>
    <x v="9"/>
    <x v="1"/>
    <x v="0"/>
    <n v="2"/>
    <x v="9"/>
    <x v="0"/>
    <x v="2"/>
  </r>
  <r>
    <d v="2025-01-11T00:00:00"/>
    <x v="10"/>
    <x v="0"/>
    <x v="0"/>
    <n v="6"/>
    <x v="10"/>
    <x v="1"/>
    <x v="0"/>
  </r>
  <r>
    <d v="2025-01-12T00:00:00"/>
    <x v="11"/>
    <x v="2"/>
    <x v="3"/>
    <n v="6"/>
    <x v="11"/>
    <x v="0"/>
    <x v="2"/>
  </r>
  <r>
    <d v="2025-01-13T00:00:00"/>
    <x v="12"/>
    <x v="1"/>
    <x v="1"/>
    <n v="4"/>
    <x v="12"/>
    <x v="1"/>
    <x v="1"/>
  </r>
  <r>
    <d v="2025-01-14T00:00:00"/>
    <x v="13"/>
    <x v="3"/>
    <x v="3"/>
    <n v="6"/>
    <x v="13"/>
    <x v="1"/>
    <x v="2"/>
  </r>
  <r>
    <d v="2025-01-15T00:00:00"/>
    <x v="14"/>
    <x v="0"/>
    <x v="1"/>
    <n v="2"/>
    <x v="14"/>
    <x v="1"/>
    <x v="0"/>
  </r>
  <r>
    <d v="2025-01-16T00:00:00"/>
    <x v="15"/>
    <x v="3"/>
    <x v="1"/>
    <n v="2"/>
    <x v="15"/>
    <x v="0"/>
    <x v="1"/>
  </r>
  <r>
    <d v="2025-01-17T00:00:00"/>
    <x v="16"/>
    <x v="0"/>
    <x v="3"/>
    <n v="4"/>
    <x v="16"/>
    <x v="0"/>
    <x v="1"/>
  </r>
  <r>
    <d v="2025-01-18T00:00:00"/>
    <x v="17"/>
    <x v="1"/>
    <x v="3"/>
    <n v="8"/>
    <x v="17"/>
    <x v="0"/>
    <x v="1"/>
  </r>
  <r>
    <d v="2025-01-19T00:00:00"/>
    <x v="18"/>
    <x v="4"/>
    <x v="1"/>
    <n v="7"/>
    <x v="18"/>
    <x v="0"/>
    <x v="2"/>
  </r>
  <r>
    <d v="2025-01-20T00:00:00"/>
    <x v="19"/>
    <x v="0"/>
    <x v="2"/>
    <n v="9"/>
    <x v="19"/>
    <x v="0"/>
    <x v="0"/>
  </r>
  <r>
    <d v="2025-01-21T00:00:00"/>
    <x v="20"/>
    <x v="3"/>
    <x v="0"/>
    <n v="8"/>
    <x v="20"/>
    <x v="0"/>
    <x v="1"/>
  </r>
  <r>
    <d v="2025-01-22T00:00:00"/>
    <x v="21"/>
    <x v="1"/>
    <x v="3"/>
    <n v="5"/>
    <x v="21"/>
    <x v="0"/>
    <x v="1"/>
  </r>
  <r>
    <d v="2025-01-23T00:00:00"/>
    <x v="22"/>
    <x v="0"/>
    <x v="0"/>
    <n v="2"/>
    <x v="22"/>
    <x v="1"/>
    <x v="1"/>
  </r>
  <r>
    <d v="2025-01-24T00:00:00"/>
    <x v="23"/>
    <x v="4"/>
    <x v="2"/>
    <n v="5"/>
    <x v="23"/>
    <x v="0"/>
    <x v="2"/>
  </r>
  <r>
    <d v="2025-01-25T00:00:00"/>
    <x v="24"/>
    <x v="4"/>
    <x v="2"/>
    <n v="8"/>
    <x v="24"/>
    <x v="1"/>
    <x v="2"/>
  </r>
  <r>
    <d v="2025-01-26T00:00:00"/>
    <x v="25"/>
    <x v="2"/>
    <x v="2"/>
    <n v="9"/>
    <x v="25"/>
    <x v="0"/>
    <x v="0"/>
  </r>
  <r>
    <d v="2025-01-27T00:00:00"/>
    <x v="26"/>
    <x v="2"/>
    <x v="3"/>
    <n v="9"/>
    <x v="26"/>
    <x v="0"/>
    <x v="2"/>
  </r>
  <r>
    <d v="2025-01-28T00:00:00"/>
    <x v="27"/>
    <x v="3"/>
    <x v="2"/>
    <n v="1"/>
    <x v="27"/>
    <x v="0"/>
    <x v="1"/>
  </r>
  <r>
    <d v="2025-01-29T00:00:00"/>
    <x v="28"/>
    <x v="0"/>
    <x v="3"/>
    <n v="9"/>
    <x v="28"/>
    <x v="1"/>
    <x v="0"/>
  </r>
  <r>
    <d v="2025-01-30T00:00:00"/>
    <x v="29"/>
    <x v="0"/>
    <x v="2"/>
    <n v="7"/>
    <x v="2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F559BC-0E92-4043-80E2-8BC7D71026F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
  <location ref="A12:G16" firstHeaderRow="1" firstDataRow="2" firstDataCol="1"/>
  <pivotFields count="8">
    <pivotField numFmtId="14" showAll="0"/>
    <pivotField showAll="0"/>
    <pivotField axis="axisCol" showAll="0">
      <items count="6">
        <item x="2"/>
        <item x="3"/>
        <item x="4"/>
        <item x="0"/>
        <item x="1"/>
        <item t="default"/>
      </items>
    </pivotField>
    <pivotField showAll="0"/>
    <pivotField showAll="0"/>
    <pivotField dataField="1" showAll="0"/>
    <pivotField axis="axisRow" showAll="0">
      <items count="3">
        <item x="0"/>
        <item x="1"/>
        <item t="default"/>
      </items>
    </pivotField>
    <pivotField showAll="0"/>
  </pivotFields>
  <rowFields count="1">
    <field x="6"/>
  </rowFields>
  <rowItems count="3">
    <i>
      <x/>
    </i>
    <i>
      <x v="1"/>
    </i>
    <i t="grand">
      <x/>
    </i>
  </rowItems>
  <colFields count="1">
    <field x="2"/>
  </colFields>
  <colItems count="6">
    <i>
      <x/>
    </i>
    <i>
      <x v="1"/>
    </i>
    <i>
      <x v="2"/>
    </i>
    <i>
      <x v="3"/>
    </i>
    <i>
      <x v="4"/>
    </i>
    <i t="grand">
      <x/>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3E8B8A-E162-4038-A4D8-1862DEF79A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
  <location ref="A3:G9" firstHeaderRow="1" firstDataRow="2" firstDataCol="1"/>
  <pivotFields count="8">
    <pivotField numFmtId="14" showAll="0"/>
    <pivotField showAll="0"/>
    <pivotField axis="axisCol" showAll="0">
      <items count="6">
        <item x="2"/>
        <item x="3"/>
        <item x="4"/>
        <item x="0"/>
        <item x="1"/>
        <item t="default"/>
      </items>
    </pivotField>
    <pivotField axis="axisRow" showAll="0">
      <items count="5">
        <item x="1"/>
        <item x="3"/>
        <item x="2"/>
        <item x="0"/>
        <item t="default"/>
      </items>
    </pivotField>
    <pivotField showAll="0"/>
    <pivotField dataField="1" showAll="0"/>
    <pivotField showAll="0"/>
    <pivotField showAll="0"/>
  </pivotFields>
  <rowFields count="1">
    <field x="3"/>
  </rowFields>
  <rowItems count="5">
    <i>
      <x/>
    </i>
    <i>
      <x v="1"/>
    </i>
    <i>
      <x v="2"/>
    </i>
    <i>
      <x v="3"/>
    </i>
    <i t="grand">
      <x/>
    </i>
  </rowItems>
  <colFields count="1">
    <field x="2"/>
  </colFields>
  <colItems count="6">
    <i>
      <x/>
    </i>
    <i>
      <x v="1"/>
    </i>
    <i>
      <x v="2"/>
    </i>
    <i>
      <x v="3"/>
    </i>
    <i>
      <x v="4"/>
    </i>
    <i t="grand">
      <x/>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EE7951-42AD-4E13-8A92-25E70643E97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8" firstHeaderRow="1" firstDataRow="1" firstDataCol="1"/>
  <pivotFields count="10">
    <pivotField numFmtId="14" showAll="0"/>
    <pivotField showAll="0"/>
    <pivotField showAll="0"/>
    <pivotField axis="axisRow" showAll="0">
      <items count="5">
        <item x="1"/>
        <item x="3"/>
        <item x="2"/>
        <item x="0"/>
        <item t="default"/>
      </items>
    </pivotField>
    <pivotField showAll="0"/>
    <pivotField dataField="1" showAll="0"/>
    <pivotField showAll="0"/>
    <pivotField showAll="0"/>
    <pivotField dragToRow="0" dragToCol="0" dragToPage="0" showAll="0" defaultSubtotal="0"/>
    <pivotField dragToRow="0" dragToCol="0" dragToPage="0" showAll="0" defaultSubtotal="0"/>
  </pivotFields>
  <rowFields count="1">
    <field x="3"/>
  </rowFields>
  <rowItems count="5">
    <i>
      <x/>
    </i>
    <i>
      <x v="1"/>
    </i>
    <i>
      <x v="2"/>
    </i>
    <i>
      <x v="3"/>
    </i>
    <i t="grand">
      <x/>
    </i>
  </rowItems>
  <colItems count="1">
    <i/>
  </colItems>
  <dataFields count="1">
    <dataField name="Count of Revenu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457EAA-0367-46B9-8EAE-571C7A4B3BC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M14" firstHeaderRow="1" firstDataRow="1" firstDataCol="1"/>
  <pivotFields count="8">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6">
        <item sd="0" x="2"/>
        <item sd="0" x="3"/>
        <item sd="0" x="4"/>
        <item sd="0" x="0"/>
        <item sd="0" x="1"/>
        <item t="default" sd="0"/>
      </items>
    </pivotField>
    <pivotField showAll="0"/>
    <pivotField dataField="1" showAll="0"/>
    <pivotField showAll="0"/>
    <pivotField showAll="0"/>
    <pivotField showAll="0"/>
  </pivotFields>
  <rowFields count="2">
    <field x="2"/>
    <field x="0"/>
  </rowFields>
  <rowItems count="6">
    <i>
      <x/>
    </i>
    <i>
      <x v="1"/>
    </i>
    <i>
      <x v="2"/>
    </i>
    <i>
      <x v="3"/>
    </i>
    <i>
      <x v="4"/>
    </i>
    <i t="grand">
      <x/>
    </i>
  </rowItems>
  <colItems count="1">
    <i/>
  </colItems>
  <dataFields count="1">
    <dataField name="Sum of Deals Close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877E20-21D1-4670-9D3E-6EC18CA7DE16}" name="PivotTable2"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0">
  <location ref="H47:M50" firstHeaderRow="1" firstDataRow="2" firstDataCol="1"/>
  <pivotFields count="10">
    <pivotField numFmtId="14" showAll="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2"/>
        <item h="1" x="3"/>
        <item h="1" x="4"/>
        <item h="1" x="0"/>
        <item h="1" x="1"/>
        <item t="default"/>
      </items>
    </pivotField>
    <pivotField axis="axisCol" showAll="0">
      <items count="5">
        <item x="1"/>
        <item x="3"/>
        <item x="2"/>
        <item x="0"/>
        <item t="default"/>
      </items>
    </pivotField>
    <pivotField showAll="0"/>
    <pivotField dataField="1" showAll="0"/>
    <pivotField showAll="0">
      <items count="3">
        <item x="0"/>
        <item x="1"/>
        <item t="default"/>
      </items>
    </pivotField>
    <pivotField showAll="0">
      <items count="4">
        <item x="1"/>
        <item x="2"/>
        <item x="0"/>
        <item t="default"/>
      </items>
    </pivotField>
    <pivotField dragToRow="0" dragToCol="0" dragToPage="0" showAll="0" defaultSubtotal="0"/>
    <pivotField dragToRow="0" dragToCol="0" dragToPage="0" showAll="0" defaultSubtotal="0"/>
  </pivotFields>
  <rowFields count="1">
    <field x="2"/>
  </rowFields>
  <rowItems count="2">
    <i>
      <x/>
    </i>
    <i t="grand">
      <x/>
    </i>
  </rowItems>
  <colFields count="1">
    <field x="3"/>
  </colFields>
  <colItems count="5">
    <i>
      <x/>
    </i>
    <i>
      <x v="1"/>
    </i>
    <i>
      <x v="2"/>
    </i>
    <i>
      <x v="3"/>
    </i>
    <i t="grand">
      <x/>
    </i>
  </colItems>
  <dataFields count="1">
    <dataField name="Sum of Revenue" fld="5" showDataAs="percentOfTotal" baseField="0" baseItem="0" numFmtId="10"/>
  </dataFields>
  <conditionalFormats count="5">
    <conditionalFormat priority="8">
      <pivotAreas count="1">
        <pivotArea type="data" collapsedLevelsAreSubtotals="1" fieldPosition="0">
          <references count="3">
            <reference field="4294967294" count="1" selected="0">
              <x v="0"/>
            </reference>
            <reference field="2" count="1">
              <x v="4"/>
            </reference>
            <reference field="3" count="4" selected="0">
              <x v="0"/>
              <x v="1"/>
              <x v="2"/>
              <x v="3"/>
            </reference>
          </references>
        </pivotArea>
      </pivotAreas>
    </conditionalFormat>
    <conditionalFormat priority="9">
      <pivotAreas count="1">
        <pivotArea type="data" collapsedLevelsAreSubtotals="1" fieldPosition="0">
          <references count="3">
            <reference field="4294967294" count="1" selected="0">
              <x v="0"/>
            </reference>
            <reference field="2" count="1">
              <x v="3"/>
            </reference>
            <reference field="3" count="4" selected="0">
              <x v="0"/>
              <x v="1"/>
              <x v="2"/>
              <x v="3"/>
            </reference>
          </references>
        </pivotArea>
      </pivotAreas>
    </conditionalFormat>
    <conditionalFormat priority="10">
      <pivotAreas count="1">
        <pivotArea type="data" collapsedLevelsAreSubtotals="1" fieldPosition="0">
          <references count="3">
            <reference field="4294967294" count="1" selected="0">
              <x v="0"/>
            </reference>
            <reference field="2" count="1">
              <x v="2"/>
            </reference>
            <reference field="3" count="4" selected="0">
              <x v="0"/>
              <x v="1"/>
              <x v="2"/>
              <x v="3"/>
            </reference>
          </references>
        </pivotArea>
      </pivotAreas>
    </conditionalFormat>
    <conditionalFormat priority="11">
      <pivotAreas count="1">
        <pivotArea type="data" collapsedLevelsAreSubtotals="1" fieldPosition="0">
          <references count="3">
            <reference field="4294967294" count="1" selected="0">
              <x v="0"/>
            </reference>
            <reference field="2" count="1">
              <x v="1"/>
            </reference>
            <reference field="3" count="4" selected="0">
              <x v="0"/>
              <x v="1"/>
              <x v="2"/>
              <x v="3"/>
            </reference>
          </references>
        </pivotArea>
      </pivotAreas>
    </conditionalFormat>
    <conditionalFormat priority="12">
      <pivotAreas count="1">
        <pivotArea type="data" collapsedLevelsAreSubtotals="1" fieldPosition="0">
          <references count="3">
            <reference field="4294967294" count="1" selected="0">
              <x v="0"/>
            </reference>
            <reference field="2" count="1">
              <x v="0"/>
            </reference>
            <reference field="3" count="4" selected="0">
              <x v="0"/>
              <x v="1"/>
              <x v="2"/>
              <x v="3"/>
            </reference>
          </references>
        </pivotArea>
      </pivotAreas>
    </conditionalFormat>
  </conditionalFormats>
  <chartFormats count="9">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2"/>
          </reference>
        </references>
      </pivotArea>
    </chartFormat>
    <chartFormat chart="2" format="5" series="1">
      <pivotArea type="data" outline="0" fieldPosition="0">
        <references count="2">
          <reference field="4294967294" count="1" selected="0">
            <x v="0"/>
          </reference>
          <reference field="3" count="1" selected="0">
            <x v="3"/>
          </reference>
        </references>
      </pivotArea>
    </chartFormat>
    <chartFormat chart="5" format="9" series="1">
      <pivotArea type="data" outline="0" fieldPosition="0">
        <references count="2">
          <reference field="4294967294" count="1" selected="0">
            <x v="0"/>
          </reference>
          <reference field="3" count="1" selected="0">
            <x v="0"/>
          </reference>
        </references>
      </pivotArea>
    </chartFormat>
    <chartFormat chart="5" format="10" series="1">
      <pivotArea type="data" outline="0" fieldPosition="0">
        <references count="2">
          <reference field="4294967294" count="1" selected="0">
            <x v="0"/>
          </reference>
          <reference field="3" count="1" selected="0">
            <x v="1"/>
          </reference>
        </references>
      </pivotArea>
    </chartFormat>
    <chartFormat chart="5" format="11" series="1">
      <pivotArea type="data" outline="0" fieldPosition="0">
        <references count="2">
          <reference field="4294967294" count="1" selected="0">
            <x v="0"/>
          </reference>
          <reference field="3" count="1" selected="0">
            <x v="2"/>
          </reference>
        </references>
      </pivotArea>
    </chartFormat>
    <chartFormat chart="5" format="12" series="1">
      <pivotArea type="data" outline="0" fieldPosition="0">
        <references count="2">
          <reference field="4294967294" count="1" selected="0">
            <x v="0"/>
          </reference>
          <reference field="3" count="1" selected="0">
            <x v="3"/>
          </reference>
        </references>
      </pivotArea>
    </chartFormat>
    <chartFormat chart="5"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03CC74-510C-402E-99DA-66D05B9A5E7A}"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BL4:BQ10" firstHeaderRow="0" firstDataRow="1" firstDataCol="4"/>
  <pivotFields count="10">
    <pivotField compact="0" numFmtId="14" outline="0" showAll="0" defaultSubtotal="0"/>
    <pivotField compact="0" outline="0"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compact="0" outline="0" showAll="0" defaultSubtotal="0">
      <items count="5">
        <item sd="0" x="2"/>
        <item h="1" x="3"/>
        <item h="1" x="4"/>
        <item h="1" x="0"/>
        <item h="1" x="1"/>
      </items>
    </pivotField>
    <pivotField axis="axisRow" compact="0" outline="0" showAll="0" defaultSubtotal="0">
      <items count="4">
        <item x="1"/>
        <item x="3"/>
        <item x="2"/>
        <item x="0"/>
      </items>
    </pivotField>
    <pivotField dataField="1" compact="0" outline="0" showAll="0" defaultSubtotal="0"/>
    <pivotField dataField="1" compact="0" outline="0" showAll="0" defaultSubtotal="0"/>
    <pivotField axis="axisRow" compact="0" outline="0" showAll="0" defaultSubtotal="0">
      <items count="2">
        <item x="0"/>
        <item x="1"/>
      </items>
    </pivotField>
    <pivotField axis="axisRow" compact="0" outline="0" showAll="0" defaultSubtotal="0">
      <items count="3">
        <item x="1"/>
        <item x="2"/>
        <item x="0"/>
      </items>
    </pivotField>
    <pivotField compact="0" outline="0" subtotalTop="0" dragToRow="0" dragToCol="0" dragToPage="0" showAll="0" defaultSubtotal="0"/>
    <pivotField compact="0" outline="0" subtotalTop="0" dragToRow="0" dragToCol="0" dragToPage="0" showAll="0" defaultSubtotal="0"/>
  </pivotFields>
  <rowFields count="4">
    <field x="6"/>
    <field x="7"/>
    <field x="3"/>
    <field x="2"/>
  </rowFields>
  <rowItems count="6">
    <i>
      <x/>
      <x v="1"/>
      <x v="1"/>
      <x/>
    </i>
    <i r="1">
      <x v="2"/>
      <x/>
      <x/>
    </i>
    <i r="2">
      <x v="2"/>
      <x/>
    </i>
    <i>
      <x v="1"/>
      <x/>
      <x v="2"/>
      <x/>
    </i>
    <i r="1">
      <x v="2"/>
      <x v="3"/>
      <x/>
    </i>
    <i t="grand">
      <x/>
    </i>
  </rowItems>
  <colFields count="1">
    <field x="-2"/>
  </colFields>
  <colItems count="2">
    <i>
      <x/>
    </i>
    <i i="1">
      <x v="1"/>
    </i>
  </colItems>
  <dataFields count="2">
    <dataField name="Sum of Revenue" fld="5" baseField="0" baseItem="0"/>
    <dataField name="Sum of Deals Closed" fld="4" baseField="0" baseItem="0"/>
  </dataFields>
  <pivotTableStyleInfo name="PivotStyleMedium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FDCBFC-DD69-4F16-B2A0-73FA9690A693}" name="PivotTable2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I3:AS11" firstHeaderRow="1" firstDataRow="3" firstDataCol="1"/>
  <pivotFields count="10">
    <pivotField numFmtId="14" showAll="0"/>
    <pivotField showAll="0"/>
    <pivotField axis="axisRow" showAll="0">
      <items count="6">
        <item x="2"/>
        <item x="3"/>
        <item x="4"/>
        <item x="0"/>
        <item x="1"/>
        <item t="default"/>
      </items>
    </pivotField>
    <pivotField axis="axisCol" showAll="0">
      <items count="5">
        <item x="1"/>
        <item x="3"/>
        <item x="2"/>
        <item x="0"/>
        <item t="default"/>
      </items>
    </pivotField>
    <pivotField dataField="1" showAll="0"/>
    <pivotField dataField="1" showAll="0"/>
    <pivotField showAll="0"/>
    <pivotField showAll="0"/>
    <pivotField dragToRow="0" dragToCol="0" dragToPage="0" showAll="0" defaultSubtotal="0"/>
    <pivotField dragToRow="0" dragToCol="0" dragToPage="0" showAll="0" defaultSubtotal="0"/>
  </pivotFields>
  <rowFields count="1">
    <field x="2"/>
  </rowFields>
  <rowItems count="6">
    <i>
      <x/>
    </i>
    <i>
      <x v="1"/>
    </i>
    <i>
      <x v="2"/>
    </i>
    <i>
      <x v="3"/>
    </i>
    <i>
      <x v="4"/>
    </i>
    <i t="grand">
      <x/>
    </i>
  </rowItems>
  <colFields count="2">
    <field x="3"/>
    <field x="-2"/>
  </colFields>
  <colItems count="10">
    <i>
      <x/>
      <x/>
    </i>
    <i r="1" i="1">
      <x v="1"/>
    </i>
    <i>
      <x v="1"/>
      <x/>
    </i>
    <i r="1" i="1">
      <x v="1"/>
    </i>
    <i>
      <x v="2"/>
      <x/>
    </i>
    <i r="1" i="1">
      <x v="1"/>
    </i>
    <i>
      <x v="3"/>
      <x/>
    </i>
    <i r="1" i="1">
      <x v="1"/>
    </i>
    <i t="grand">
      <x/>
    </i>
    <i t="grand" i="1">
      <x/>
    </i>
  </colItems>
  <dataFields count="2">
    <dataField name=" Revenue" fld="5" showDataAs="percentOfTotal" baseField="0" baseItem="0" numFmtId="10"/>
    <dataField name=" Deals Closed" fld="4" showDataAs="percentOfTotal" baseField="0" baseItem="0" numFmtId="10"/>
  </dataFields>
  <formats count="18">
    <format dxfId="19">
      <pivotArea dataOnly="0" labelOnly="1" outline="0" fieldPosition="0">
        <references count="2">
          <reference field="4294967294" count="1">
            <x v="1"/>
          </reference>
          <reference field="3" count="1" selected="0">
            <x v="0"/>
          </reference>
        </references>
      </pivotArea>
    </format>
    <format dxfId="18">
      <pivotArea dataOnly="0" labelOnly="1" outline="0" fieldPosition="0">
        <references count="2">
          <reference field="4294967294" count="1">
            <x v="1"/>
          </reference>
          <reference field="3" count="1" selected="0">
            <x v="0"/>
          </reference>
        </references>
      </pivotArea>
    </format>
    <format dxfId="17">
      <pivotArea type="all" dataOnly="0" outline="0" fieldPosition="0"/>
    </format>
    <format dxfId="16">
      <pivotArea outline="0" collapsedLevelsAreSubtotals="1" fieldPosition="0"/>
    </format>
    <format dxfId="15">
      <pivotArea type="origin" dataOnly="0" labelOnly="1" outline="0" fieldPosition="0"/>
    </format>
    <format dxfId="14">
      <pivotArea field="3" type="button" dataOnly="0" labelOnly="1" outline="0" axis="axisCol" fieldPosition="0"/>
    </format>
    <format dxfId="13">
      <pivotArea field="-2" type="button" dataOnly="0" labelOnly="1" outline="0" axis="axisCol" fieldPosition="1"/>
    </format>
    <format dxfId="12">
      <pivotArea type="topRight" dataOnly="0" labelOnly="1" outline="0" fieldPosition="0"/>
    </format>
    <format dxfId="11">
      <pivotArea field="2" type="button" dataOnly="0" labelOnly="1" outline="0" axis="axisRow" fieldPosition="0"/>
    </format>
    <format dxfId="10">
      <pivotArea dataOnly="0" labelOnly="1" fieldPosition="0">
        <references count="1">
          <reference field="2" count="0"/>
        </references>
      </pivotArea>
    </format>
    <format dxfId="9">
      <pivotArea dataOnly="0" labelOnly="1" grandRow="1" outline="0" fieldPosition="0"/>
    </format>
    <format dxfId="8">
      <pivotArea dataOnly="0" labelOnly="1" fieldPosition="0">
        <references count="1">
          <reference field="3" count="0"/>
        </references>
      </pivotArea>
    </format>
    <format dxfId="7">
      <pivotArea field="3" dataOnly="0" labelOnly="1" grandCol="1" outline="0" axis="axisCol" fieldPosition="0">
        <references count="1">
          <reference field="4294967294" count="1" selected="0">
            <x v="0"/>
          </reference>
        </references>
      </pivotArea>
    </format>
    <format dxfId="6">
      <pivotArea field="3" dataOnly="0" labelOnly="1" grandCol="1" outline="0" axis="axisCol" fieldPosition="0">
        <references count="1">
          <reference field="4294967294" count="1" selected="0">
            <x v="1"/>
          </reference>
        </references>
      </pivotArea>
    </format>
    <format dxfId="5">
      <pivotArea dataOnly="0" labelOnly="1" outline="0" fieldPosition="0">
        <references count="2">
          <reference field="4294967294" count="2">
            <x v="0"/>
            <x v="1"/>
          </reference>
          <reference field="3" count="1" selected="0">
            <x v="0"/>
          </reference>
        </references>
      </pivotArea>
    </format>
    <format dxfId="4">
      <pivotArea dataOnly="0" labelOnly="1" outline="0" fieldPosition="0">
        <references count="2">
          <reference field="4294967294" count="2">
            <x v="0"/>
            <x v="1"/>
          </reference>
          <reference field="3" count="1" selected="0">
            <x v="1"/>
          </reference>
        </references>
      </pivotArea>
    </format>
    <format dxfId="3">
      <pivotArea dataOnly="0" labelOnly="1" outline="0" fieldPosition="0">
        <references count="2">
          <reference field="4294967294" count="2">
            <x v="0"/>
            <x v="1"/>
          </reference>
          <reference field="3" count="1" selected="0">
            <x v="2"/>
          </reference>
        </references>
      </pivotArea>
    </format>
    <format dxfId="2">
      <pivotArea dataOnly="0" labelOnly="1" outline="0" fieldPosition="0">
        <references count="2">
          <reference field="4294967294" count="2">
            <x v="0"/>
            <x v="1"/>
          </reference>
          <reference field="3"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DEC17D-6612-4BA7-8467-9674703C4CE5}" name="PivotTable41" cacheId="2"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69">
  <location ref="X41:AD57" firstHeaderRow="0" firstDataRow="1" firstDataCol="4"/>
  <pivotFields count="10">
    <pivotField compact="0" numFmtId="14" outline="0" subtotalTop="0" showAll="0"/>
    <pivotField compact="0" outline="0" subtotalTop="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compact="0" outline="0" subtotalTop="0" showAll="0" sortType="descending">
      <items count="6">
        <item x="2"/>
        <item h="1" x="3"/>
        <item h="1" x="4"/>
        <item h="1" x="0"/>
        <item h="1" x="1"/>
        <item t="default"/>
      </items>
      <autoSortScope>
        <pivotArea dataOnly="0" outline="0" fieldPosition="0">
          <references count="1">
            <reference field="4294967294" count="1" selected="0">
              <x v="1"/>
            </reference>
          </references>
        </pivotArea>
      </autoSortScope>
    </pivotField>
    <pivotField axis="axisRow" compact="0" outline="0" subtotalTop="0" showAll="0" sortType="descending">
      <items count="5">
        <item x="1"/>
        <item x="3"/>
        <item x="2"/>
        <item x="0"/>
        <item t="default"/>
      </items>
      <autoSortScope>
        <pivotArea dataOnly="0" outline="0" fieldPosition="0">
          <references count="1">
            <reference field="4294967294" count="1" selected="0">
              <x v="1"/>
            </reference>
          </references>
        </pivotArea>
      </autoSortScope>
    </pivotField>
    <pivotField dataField="1" compact="0" outline="0" subtotalTop="0" showAll="0"/>
    <pivotField compact="0" outline="0" subtotalTop="0" showAll="0"/>
    <pivotField axis="axisRow" compact="0" outline="0" subtotalTop="0" showAll="0">
      <items count="3">
        <item x="0"/>
        <item x="1"/>
        <item t="default"/>
      </items>
    </pivotField>
    <pivotField axis="axisRow" compact="0" outline="0" subtotalTop="0" showAll="0">
      <items count="4">
        <item x="1"/>
        <item x="2"/>
        <item x="0"/>
        <item t="default"/>
      </items>
    </pivotField>
    <pivotField dataField="1" compact="0" outline="0" subtotalTop="0" dragToRow="0" dragToCol="0" dragToPage="0" showAll="0" defaultSubtotal="0"/>
    <pivotField dataField="1" compact="0" outline="0" subtotalTop="0" dragToRow="0" dragToCol="0" dragToPage="0" showAll="0" defaultSubtotal="0"/>
  </pivotFields>
  <rowFields count="4">
    <field x="7"/>
    <field x="2"/>
    <field x="6"/>
    <field x="3"/>
  </rowFields>
  <rowItems count="16">
    <i>
      <x/>
      <x/>
      <x v="1"/>
      <x v="2"/>
    </i>
    <i t="default" r="2">
      <x v="1"/>
    </i>
    <i t="default" r="1">
      <x/>
    </i>
    <i t="default">
      <x/>
    </i>
    <i>
      <x v="1"/>
      <x/>
      <x/>
      <x v="1"/>
    </i>
    <i t="default" r="2">
      <x/>
    </i>
    <i t="default" r="1">
      <x/>
    </i>
    <i t="default">
      <x v="1"/>
    </i>
    <i>
      <x v="2"/>
      <x/>
      <x/>
      <x/>
    </i>
    <i r="3">
      <x v="2"/>
    </i>
    <i t="default" r="2">
      <x/>
    </i>
    <i r="2">
      <x v="1"/>
      <x v="3"/>
    </i>
    <i t="default" r="2">
      <x v="1"/>
    </i>
    <i t="default" r="1">
      <x/>
    </i>
    <i t="default">
      <x v="2"/>
    </i>
    <i t="grand">
      <x/>
    </i>
  </rowItems>
  <colFields count="1">
    <field x="-2"/>
  </colFields>
  <colItems count="3">
    <i>
      <x/>
    </i>
    <i i="1">
      <x v="1"/>
    </i>
    <i i="2">
      <x v="2"/>
    </i>
  </colItems>
  <dataFields count="3">
    <dataField name=" Deals Closed" fld="4" baseField="0" baseItem="0"/>
    <dataField name="Sum of Per Of Total Reveune " fld="9" baseField="0" baseItem="0" numFmtId="10"/>
    <dataField name="Sum of Reveune Per Deal" fld="8" baseField="0" baseItem="0"/>
  </dataFields>
  <formats count="1">
    <format dxfId="20">
      <pivotArea outline="0" fieldPosition="0">
        <references count="1">
          <reference field="4294967294" count="1" selected="0">
            <x v="1"/>
          </reference>
        </references>
      </pivotArea>
    </format>
  </formats>
  <chartFormats count="4">
    <chartFormat chart="23" format="6"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1"/>
          </reference>
        </references>
      </pivotArea>
    </chartFormat>
    <chartFormat chart="64" format="1"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2"/>
          </reference>
        </references>
      </pivotArea>
    </chartFormat>
  </chartFormats>
  <pivotTableStyleInfo name="PivotStyleMedium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9D09C7-A84D-4296-9028-CF97072CA079}"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3:S10" firstHeaderRow="1" firstDataRow="2" firstDataCol="1"/>
  <pivotFields count="10">
    <pivotField numFmtId="14" showAll="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2"/>
        <item x="3"/>
        <item x="4"/>
        <item x="0"/>
        <item x="1"/>
        <item t="default"/>
      </items>
    </pivotField>
    <pivotField axis="axisCol" showAll="0">
      <items count="5">
        <item x="1"/>
        <item x="3"/>
        <item x="2"/>
        <item x="0"/>
        <item t="default"/>
      </items>
    </pivotField>
    <pivotField dataField="1" showAll="0"/>
    <pivotField showAll="0"/>
    <pivotField showAll="0">
      <items count="3">
        <item x="0"/>
        <item x="1"/>
        <item t="default"/>
      </items>
    </pivotField>
    <pivotField showAll="0">
      <items count="4">
        <item x="1"/>
        <item x="2"/>
        <item x="0"/>
        <item t="default"/>
      </items>
    </pivotField>
    <pivotField dragToRow="0" dragToCol="0" dragToPage="0" showAll="0" defaultSubtotal="0"/>
    <pivotField dragToRow="0" dragToCol="0" dragToPage="0" showAll="0" defaultSubtotal="0"/>
  </pivotFields>
  <rowFields count="1">
    <field x="2"/>
  </rowFields>
  <rowItems count="6">
    <i>
      <x/>
    </i>
    <i>
      <x v="1"/>
    </i>
    <i>
      <x v="2"/>
    </i>
    <i>
      <x v="3"/>
    </i>
    <i>
      <x v="4"/>
    </i>
    <i t="grand">
      <x/>
    </i>
  </rowItems>
  <colFields count="1">
    <field x="3"/>
  </colFields>
  <colItems count="5">
    <i>
      <x/>
    </i>
    <i>
      <x v="1"/>
    </i>
    <i>
      <x v="2"/>
    </i>
    <i>
      <x v="3"/>
    </i>
    <i t="grand">
      <x/>
    </i>
  </colItems>
  <dataFields count="1">
    <dataField name="Sum of Deals Closed" fld="4" baseField="0" baseItem="0"/>
  </dataFields>
  <conditionalFormats count="1">
    <conditionalFormat priority="17">
      <pivotAreas count="1">
        <pivotArea type="data" collapsedLevelsAreSubtotals="1" fieldPosition="0">
          <references count="3">
            <reference field="4294967294" count="1" selected="0">
              <x v="0"/>
            </reference>
            <reference field="2" count="5">
              <x v="0"/>
              <x v="1"/>
              <x v="2"/>
              <x v="3"/>
              <x v="4"/>
            </reference>
            <reference field="3" count="4" selected="0">
              <x v="0"/>
              <x v="1"/>
              <x v="2"/>
              <x v="3"/>
            </reference>
          </references>
        </pivotArea>
      </pivotAreas>
    </conditionalFormat>
  </conditionalFormats>
  <chartFormats count="5">
    <chartFormat chart="8" format="8" series="1">
      <pivotArea type="data" outline="0" fieldPosition="0">
        <references count="2">
          <reference field="4294967294" count="1" selected="0">
            <x v="0"/>
          </reference>
          <reference field="3" count="1" selected="0">
            <x v="0"/>
          </reference>
        </references>
      </pivotArea>
    </chartFormat>
    <chartFormat chart="8" format="9" series="1">
      <pivotArea type="data" outline="0" fieldPosition="0">
        <references count="2">
          <reference field="4294967294" count="1" selected="0">
            <x v="0"/>
          </reference>
          <reference field="3" count="1" selected="0">
            <x v="1"/>
          </reference>
        </references>
      </pivotArea>
    </chartFormat>
    <chartFormat chart="8" format="10" series="1">
      <pivotArea type="data" outline="0" fieldPosition="0">
        <references count="2">
          <reference field="4294967294" count="1" selected="0">
            <x v="0"/>
          </reference>
          <reference field="3" count="1" selected="0">
            <x v="2"/>
          </reference>
        </references>
      </pivotArea>
    </chartFormat>
    <chartFormat chart="8" format="11" series="1">
      <pivotArea type="data" outline="0" fieldPosition="0">
        <references count="2">
          <reference field="4294967294" count="1" selected="0">
            <x v="0"/>
          </reference>
          <reference field="3" count="1" selected="0">
            <x v="3"/>
          </reference>
        </references>
      </pivotArea>
    </chartFormat>
    <chartFormat chart="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F9E55B-0AED-4574-99AE-7E38841B9234}" name="PivotTable4"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9">
  <location ref="N58:O65" firstHeaderRow="1" firstDataRow="1" firstDataCol="1"/>
  <pivotFields count="10">
    <pivotField numFmtId="14" showAll="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2"/>
        <item h="1" x="3"/>
        <item h="1" x="4"/>
        <item h="1" x="0"/>
        <item h="1" x="1"/>
        <item t="default"/>
      </items>
    </pivotField>
    <pivotField showAll="0">
      <items count="5">
        <item x="1"/>
        <item x="3"/>
        <item x="2"/>
        <item x="0"/>
        <item t="default"/>
      </items>
    </pivotField>
    <pivotField showAll="0"/>
    <pivotField dataField="1" showAll="0">
      <items count="31">
        <item x="29"/>
        <item x="7"/>
        <item x="25"/>
        <item x="23"/>
        <item x="2"/>
        <item x="16"/>
        <item x="0"/>
        <item x="3"/>
        <item x="18"/>
        <item x="11"/>
        <item x="14"/>
        <item x="9"/>
        <item x="22"/>
        <item x="28"/>
        <item x="20"/>
        <item x="4"/>
        <item x="1"/>
        <item x="8"/>
        <item x="10"/>
        <item x="12"/>
        <item x="5"/>
        <item x="6"/>
        <item x="26"/>
        <item x="27"/>
        <item x="15"/>
        <item x="24"/>
        <item x="21"/>
        <item x="19"/>
        <item x="13"/>
        <item x="17"/>
        <item t="default"/>
      </items>
    </pivotField>
    <pivotField showAll="0">
      <items count="3">
        <item x="0"/>
        <item x="1"/>
        <item t="default"/>
      </items>
    </pivotField>
    <pivotField axis="axisRow" showAll="0">
      <items count="4">
        <item x="1"/>
        <item x="2"/>
        <item x="0"/>
        <item t="default"/>
      </items>
    </pivotField>
    <pivotField dragToRow="0" dragToCol="0" dragToPage="0" showAll="0" defaultSubtotal="0"/>
    <pivotField dragToRow="0" dragToCol="0" dragToPage="0" showAll="0" defaultSubtotal="0"/>
  </pivotFields>
  <rowFields count="2">
    <field x="7"/>
    <field x="2"/>
  </rowFields>
  <rowItems count="7">
    <i>
      <x/>
    </i>
    <i r="1">
      <x/>
    </i>
    <i>
      <x v="1"/>
    </i>
    <i r="1">
      <x/>
    </i>
    <i>
      <x v="2"/>
    </i>
    <i r="1">
      <x/>
    </i>
    <i t="grand">
      <x/>
    </i>
  </rowItems>
  <colItems count="1">
    <i/>
  </colItems>
  <dataFields count="1">
    <dataField name="Sum of Revenue" fld="5"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3DA9B1-2FBF-484A-BC21-5B043466DC6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94:D95" firstHeaderRow="0" firstDataRow="1" firstDataCol="0"/>
  <pivotFields count="10">
    <pivotField numFmtId="14" showAll="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2"/>
        <item h="1" x="3"/>
        <item h="1" x="4"/>
        <item h="1" x="0"/>
        <item h="1" x="1"/>
        <item t="default"/>
      </items>
    </pivotField>
    <pivotField showAll="0">
      <items count="5">
        <item x="1"/>
        <item x="3"/>
        <item x="2"/>
        <item x="0"/>
        <item t="default"/>
      </items>
    </pivotField>
    <pivotField showAll="0"/>
    <pivotField dataField="1" showAll="0"/>
    <pivotField showAll="0">
      <items count="3">
        <item x="0"/>
        <item x="1"/>
        <item t="default"/>
      </items>
    </pivotField>
    <pivotField showAll="0">
      <items count="4">
        <item x="1"/>
        <item x="2"/>
        <item x="0"/>
        <item t="default"/>
      </items>
    </pivotField>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Sum of Revenue" fld="5" baseField="0" baseItem="0"/>
    <dataField name="Sum of Revenue2" fld="5"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298FD9-8754-485F-A9E1-B86F44C4A2C2}" name="PivotTable4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ALES REP ">
  <location ref="C101:E107" firstHeaderRow="1" firstDataRow="2" firstDataCol="1"/>
  <pivotFields count="10">
    <pivotField numFmtId="14" showAll="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Col" showAll="0">
      <items count="6">
        <item x="2"/>
        <item h="1" x="3"/>
        <item h="1" x="4"/>
        <item h="1" x="0"/>
        <item h="1" x="1"/>
        <item t="default"/>
      </items>
    </pivotField>
    <pivotField axis="axisRow" showAll="0">
      <items count="5">
        <item x="0"/>
        <item x="2"/>
        <item x="3"/>
        <item x="1"/>
        <item t="default"/>
      </items>
    </pivotField>
    <pivotField dataField="1" showAll="0"/>
    <pivotField showAll="0"/>
    <pivotField showAll="0">
      <items count="3">
        <item x="0"/>
        <item x="1"/>
        <item t="default"/>
      </items>
    </pivotField>
    <pivotField showAll="0">
      <items count="4">
        <item x="1"/>
        <item x="2"/>
        <item x="0"/>
        <item t="default"/>
      </items>
    </pivotField>
    <pivotField dragToRow="0" dragToCol="0" dragToPage="0" showAll="0" defaultSubtotal="0"/>
    <pivotField dragToRow="0" dragToCol="0" dragToPage="0" showAll="0" defaultSubtotal="0"/>
  </pivotFields>
  <rowFields count="1">
    <field x="3"/>
  </rowFields>
  <rowItems count="5">
    <i>
      <x/>
    </i>
    <i>
      <x v="1"/>
    </i>
    <i>
      <x v="2"/>
    </i>
    <i>
      <x v="3"/>
    </i>
    <i t="grand">
      <x/>
    </i>
  </rowItems>
  <colFields count="1">
    <field x="2"/>
  </colFields>
  <colItems count="2">
    <i>
      <x/>
    </i>
    <i t="grand">
      <x/>
    </i>
  </colItems>
  <dataFields count="1">
    <dataField name="Deal Close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2DCED2E-7CBF-497F-9E54-1845025FC2B1}" name="PivotTable4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AQ42:AV66" firstHeaderRow="0" firstDataRow="1" firstDataCol="4"/>
  <pivotFields count="10">
    <pivotField compact="0" numFmtId="14" outline="0" showAll="0" insertBlankRow="1">
      <extLst>
        <ext xmlns:x14="http://schemas.microsoft.com/office/spreadsheetml/2009/9/main" uri="{2946ED86-A175-432a-8AC1-64E0C546D7DE}">
          <x14:pivotField fillDownLabels="1"/>
        </ext>
      </extLst>
    </pivotField>
    <pivotField compact="0" outline="0" showAll="0" insertBlankRow="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extLst>
        <ext xmlns:x14="http://schemas.microsoft.com/office/spreadsheetml/2009/9/main" uri="{2946ED86-A175-432a-8AC1-64E0C546D7DE}">
          <x14:pivotField fillDownLabels="1"/>
        </ext>
      </extLst>
    </pivotField>
    <pivotField axis="axisRow" compact="0" outline="0" showAll="0" insertBlankRow="1">
      <items count="6">
        <item sd="0" x="2"/>
        <item h="1" x="3"/>
        <item h="1" x="4"/>
        <item h="1" x="0"/>
        <item h="1" x="1"/>
        <item t="default"/>
      </items>
      <extLst>
        <ext xmlns:x14="http://schemas.microsoft.com/office/spreadsheetml/2009/9/main" uri="{2946ED86-A175-432a-8AC1-64E0C546D7DE}">
          <x14:pivotField fillDownLabels="1"/>
        </ext>
      </extLst>
    </pivotField>
    <pivotField axis="axisRow" compact="0" outline="0" showAll="0" insertBlankRow="1">
      <items count="5">
        <item x="1"/>
        <item x="3"/>
        <item x="2"/>
        <item x="0"/>
        <item t="default"/>
      </items>
      <extLst>
        <ext xmlns:x14="http://schemas.microsoft.com/office/spreadsheetml/2009/9/main" uri="{2946ED86-A175-432a-8AC1-64E0C546D7DE}">
          <x14:pivotField fillDownLabels="1"/>
        </ext>
      </extLst>
    </pivotField>
    <pivotField dataField="1" compact="0" outline="0" showAll="0" insertBlankRow="1">
      <extLst>
        <ext xmlns:x14="http://schemas.microsoft.com/office/spreadsheetml/2009/9/main" uri="{2946ED86-A175-432a-8AC1-64E0C546D7DE}">
          <x14:pivotField fillDownLabels="1"/>
        </ext>
      </extLst>
    </pivotField>
    <pivotField dataField="1" compact="0" outline="0" showAll="0" insertBlankRow="1">
      <extLst>
        <ext xmlns:x14="http://schemas.microsoft.com/office/spreadsheetml/2009/9/main" uri="{2946ED86-A175-432a-8AC1-64E0C546D7DE}">
          <x14:pivotField fillDownLabels="1"/>
        </ext>
      </extLst>
    </pivotField>
    <pivotField axis="axisRow" compact="0" outline="0" showAll="0" insertBlankRow="1">
      <items count="3">
        <item x="0"/>
        <item x="1"/>
        <item t="default"/>
      </items>
      <extLst>
        <ext xmlns:x14="http://schemas.microsoft.com/office/spreadsheetml/2009/9/main" uri="{2946ED86-A175-432a-8AC1-64E0C546D7DE}">
          <x14:pivotField fillDownLabels="1"/>
        </ext>
      </extLst>
    </pivotField>
    <pivotField axis="axisRow" compact="0" outline="0" showAll="0" insertBlankRow="1">
      <items count="4">
        <item x="1"/>
        <item x="2"/>
        <item x="0"/>
        <item t="default"/>
      </items>
      <extLst>
        <ext xmlns:x14="http://schemas.microsoft.com/office/spreadsheetml/2009/9/main" uri="{2946ED86-A175-432a-8AC1-64E0C546D7DE}">
          <x14:pivotField fillDownLabels="1"/>
        </ext>
      </extLst>
    </pivotField>
    <pivotField compact="0" outline="0" dragToRow="0" dragToCol="0" dragToPage="0" showAll="0" insertBlankRow="1" defaultSubtotal="0">
      <extLst>
        <ext xmlns:x14="http://schemas.microsoft.com/office/spreadsheetml/2009/9/main" uri="{2946ED86-A175-432a-8AC1-64E0C546D7DE}">
          <x14:pivotField fillDownLabels="1"/>
        </ext>
      </extLst>
    </pivotField>
    <pivotField compact="0" outline="0" dragToRow="0" dragToCol="0" dragToPage="0" showAll="0" insertBlankRow="1" defaultSubtotal="0">
      <extLst>
        <ext xmlns:x14="http://schemas.microsoft.com/office/spreadsheetml/2009/9/main" uri="{2946ED86-A175-432a-8AC1-64E0C546D7DE}">
          <x14:pivotField fillDownLabels="1"/>
        </ext>
      </extLst>
    </pivotField>
  </pivotFields>
  <rowFields count="4">
    <field x="6"/>
    <field x="3"/>
    <field x="2"/>
    <field x="7"/>
  </rowFields>
  <rowItems count="24">
    <i>
      <x/>
      <x/>
      <x/>
    </i>
    <i t="blank" r="2">
      <x/>
    </i>
    <i t="default" r="1">
      <x/>
    </i>
    <i t="blank" r="1">
      <x/>
    </i>
    <i r="1">
      <x v="1"/>
      <x/>
    </i>
    <i t="blank" r="2">
      <x/>
    </i>
    <i t="default" r="1">
      <x v="1"/>
    </i>
    <i t="blank" r="1">
      <x v="1"/>
    </i>
    <i r="1">
      <x v="2"/>
      <x/>
    </i>
    <i t="blank" r="2">
      <x/>
    </i>
    <i t="default" r="1">
      <x v="2"/>
    </i>
    <i t="blank" r="1">
      <x v="2"/>
    </i>
    <i t="default">
      <x/>
    </i>
    <i t="blank">
      <x/>
    </i>
    <i>
      <x v="1"/>
      <x v="2"/>
      <x/>
    </i>
    <i t="blank" r="2">
      <x/>
    </i>
    <i t="default" r="1">
      <x v="2"/>
    </i>
    <i t="blank" r="1">
      <x v="2"/>
    </i>
    <i r="1">
      <x v="3"/>
      <x/>
    </i>
    <i t="blank" r="2">
      <x/>
    </i>
    <i t="default" r="1">
      <x v="3"/>
    </i>
    <i t="blank" r="1">
      <x v="3"/>
    </i>
    <i t="default">
      <x v="1"/>
    </i>
    <i t="blank">
      <x v="1"/>
    </i>
  </rowItems>
  <colFields count="1">
    <field x="-2"/>
  </colFields>
  <colItems count="2">
    <i>
      <x/>
    </i>
    <i i="1">
      <x v="1"/>
    </i>
  </colItems>
  <dataFields count="2">
    <dataField name="Sum of Deals Closed" fld="4" baseField="0" baseItem="0"/>
    <dataField name="Sum of Revenue" fld="5" baseField="0" baseItem="0"/>
  </dataField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InsertBlankRowDefault="1"/>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E56A466-8573-4DE9-BBD6-AC6776F2E42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77:L83" firstHeaderRow="1" firstDataRow="3" firstDataCol="1"/>
  <pivotFields count="10">
    <pivotField numFmtId="14" showAll="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sortType="descending">
      <items count="6">
        <item x="2"/>
        <item h="1" x="3"/>
        <item h="1" x="4"/>
        <item h="1" x="0"/>
        <item h="1" x="1"/>
        <item t="default"/>
      </items>
      <autoSortScope>
        <pivotArea dataOnly="0" outline="0" fieldPosition="0">
          <references count="1">
            <reference field="4294967294" count="1" selected="0">
              <x v="0"/>
            </reference>
          </references>
        </pivotArea>
      </autoSortScope>
    </pivotField>
    <pivotField axis="axisCol" showAll="0" sortType="descending">
      <items count="5">
        <item x="0"/>
        <item x="2"/>
        <item x="3"/>
        <item x="1"/>
        <item t="default"/>
      </items>
      <autoSortScope>
        <pivotArea dataOnly="0" outline="0" fieldPosition="0">
          <references count="1">
            <reference field="4294967294" count="1" selected="0">
              <x v="1"/>
            </reference>
          </references>
        </pivotArea>
      </autoSortScope>
    </pivotField>
    <pivotField showAll="0"/>
    <pivotField dataField="1" showAll="0"/>
    <pivotField showAll="0">
      <items count="3">
        <item x="0"/>
        <item x="1"/>
        <item t="default"/>
      </items>
    </pivotField>
    <pivotField axis="axisRow" dataField="1" showAll="0">
      <items count="4">
        <item x="1"/>
        <item x="2"/>
        <item x="0"/>
        <item t="default"/>
      </items>
    </pivotField>
    <pivotField dragToRow="0" dragToCol="0" dragToPage="0" showAll="0" defaultSubtotal="0"/>
    <pivotField dragToRow="0" dragToCol="0" dragToPage="0" showAll="0" defaultSubtotal="0"/>
  </pivotFields>
  <rowFields count="1">
    <field x="7"/>
  </rowFields>
  <rowItems count="4">
    <i>
      <x/>
    </i>
    <i>
      <x v="1"/>
    </i>
    <i>
      <x v="2"/>
    </i>
    <i t="grand">
      <x/>
    </i>
  </rowItems>
  <colFields count="2">
    <field x="3"/>
    <field x="-2"/>
  </colFields>
  <colItems count="10">
    <i>
      <x v="3"/>
      <x/>
    </i>
    <i r="1" i="1">
      <x v="1"/>
    </i>
    <i>
      <x v="2"/>
      <x/>
    </i>
    <i r="1" i="1">
      <x v="1"/>
    </i>
    <i>
      <x v="1"/>
      <x/>
    </i>
    <i r="1" i="1">
      <x v="1"/>
    </i>
    <i>
      <x/>
      <x/>
    </i>
    <i r="1" i="1">
      <x v="1"/>
    </i>
    <i t="grand">
      <x/>
    </i>
    <i t="grand" i="1">
      <x/>
    </i>
  </colItems>
  <dataFields count="2">
    <dataField name="Count of Product" fld="7" subtotal="count" baseField="0" baseItem="0"/>
    <dataField name="Sum of Revenue" fld="5"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23AE430-AA96-4273-92F5-D461687A87E9}" name="PivotTable9"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2">
  <location ref="A38:F45" firstHeaderRow="1" firstDataRow="2" firstDataCol="1"/>
  <pivotFields count="10">
    <pivotField numFmtId="14" showAll="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axis="axisCol" showAll="0">
      <items count="5">
        <item x="1"/>
        <item x="3"/>
        <item x="2"/>
        <item x="0"/>
        <item t="default"/>
      </items>
    </pivotField>
    <pivotField showAll="0"/>
    <pivotField dataField="1" showAll="0"/>
    <pivotField showAll="0">
      <items count="3">
        <item x="0"/>
        <item x="1"/>
        <item t="default"/>
      </items>
    </pivotField>
    <pivotField showAll="0">
      <items count="4">
        <item x="1"/>
        <item x="2"/>
        <item x="0"/>
        <item t="default"/>
      </items>
    </pivotField>
    <pivotField dragToRow="0" dragToCol="0" dragToPage="0" showAll="0" defaultSubtotal="0"/>
    <pivotField dragToRow="0" dragToCol="0" dragToPage="0" showAll="0" defaultSubtotal="0"/>
  </pivotFields>
  <rowFields count="1">
    <field x="2"/>
  </rowFields>
  <rowItems count="6">
    <i>
      <x v="4"/>
    </i>
    <i>
      <x v="1"/>
    </i>
    <i>
      <x v="3"/>
    </i>
    <i>
      <x/>
    </i>
    <i>
      <x v="2"/>
    </i>
    <i t="grand">
      <x/>
    </i>
  </rowItems>
  <colFields count="1">
    <field x="3"/>
  </colFields>
  <colItems count="5">
    <i>
      <x/>
    </i>
    <i>
      <x v="1"/>
    </i>
    <i>
      <x v="2"/>
    </i>
    <i>
      <x v="3"/>
    </i>
    <i t="grand">
      <x/>
    </i>
  </colItems>
  <dataFields count="1">
    <dataField name="Sum of Revenue" fld="5" baseField="0" baseItem="0"/>
  </dataFields>
  <conditionalFormats count="5">
    <conditionalFormat priority="18">
      <pivotAreas count="1">
        <pivotArea type="data" collapsedLevelsAreSubtotals="1" fieldPosition="0">
          <references count="3">
            <reference field="4294967294" count="1" selected="0">
              <x v="0"/>
            </reference>
            <reference field="2" count="1">
              <x v="4"/>
            </reference>
            <reference field="3" count="4" selected="0">
              <x v="0"/>
              <x v="1"/>
              <x v="2"/>
              <x v="3"/>
            </reference>
          </references>
        </pivotArea>
      </pivotAreas>
    </conditionalFormat>
    <conditionalFormat priority="19">
      <pivotAreas count="1">
        <pivotArea type="data" collapsedLevelsAreSubtotals="1" fieldPosition="0">
          <references count="3">
            <reference field="4294967294" count="1" selected="0">
              <x v="0"/>
            </reference>
            <reference field="2" count="1">
              <x v="3"/>
            </reference>
            <reference field="3" count="4" selected="0">
              <x v="0"/>
              <x v="1"/>
              <x v="2"/>
              <x v="3"/>
            </reference>
          </references>
        </pivotArea>
      </pivotAreas>
    </conditionalFormat>
    <conditionalFormat priority="20">
      <pivotAreas count="1">
        <pivotArea type="data" collapsedLevelsAreSubtotals="1" fieldPosition="0">
          <references count="3">
            <reference field="4294967294" count="1" selected="0">
              <x v="0"/>
            </reference>
            <reference field="2" count="1">
              <x v="2"/>
            </reference>
            <reference field="3" count="4" selected="0">
              <x v="0"/>
              <x v="1"/>
              <x v="2"/>
              <x v="3"/>
            </reference>
          </references>
        </pivotArea>
      </pivotAreas>
    </conditionalFormat>
    <conditionalFormat priority="21">
      <pivotAreas count="1">
        <pivotArea type="data" collapsedLevelsAreSubtotals="1" fieldPosition="0">
          <references count="3">
            <reference field="4294967294" count="1" selected="0">
              <x v="0"/>
            </reference>
            <reference field="2" count="1">
              <x v="1"/>
            </reference>
            <reference field="3" count="4" selected="0">
              <x v="0"/>
              <x v="1"/>
              <x v="2"/>
              <x v="3"/>
            </reference>
          </references>
        </pivotArea>
      </pivotAreas>
    </conditionalFormat>
    <conditionalFormat priority="22">
      <pivotAreas count="1">
        <pivotArea type="data" collapsedLevelsAreSubtotals="1" fieldPosition="0">
          <references count="3">
            <reference field="4294967294" count="1" selected="0">
              <x v="0"/>
            </reference>
            <reference field="2" count="1">
              <x v="0"/>
            </reference>
            <reference field="3" count="4" selected="0">
              <x v="0"/>
              <x v="1"/>
              <x v="2"/>
              <x v="3"/>
            </reference>
          </references>
        </pivotArea>
      </pivotAreas>
    </conditionalFormat>
  </conditionalFormats>
  <chartFormats count="9">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2"/>
          </reference>
        </references>
      </pivotArea>
    </chartFormat>
    <chartFormat chart="2" format="5" series="1">
      <pivotArea type="data" outline="0" fieldPosition="0">
        <references count="2">
          <reference field="4294967294" count="1" selected="0">
            <x v="0"/>
          </reference>
          <reference field="3" count="1" selected="0">
            <x v="3"/>
          </reference>
        </references>
      </pivotArea>
    </chartFormat>
    <chartFormat chart="5" format="9" series="1">
      <pivotArea type="data" outline="0" fieldPosition="0">
        <references count="2">
          <reference field="4294967294" count="1" selected="0">
            <x v="0"/>
          </reference>
          <reference field="3" count="1" selected="0">
            <x v="0"/>
          </reference>
        </references>
      </pivotArea>
    </chartFormat>
    <chartFormat chart="5" format="10" series="1">
      <pivotArea type="data" outline="0" fieldPosition="0">
        <references count="2">
          <reference field="4294967294" count="1" selected="0">
            <x v="0"/>
          </reference>
          <reference field="3" count="1" selected="0">
            <x v="1"/>
          </reference>
        </references>
      </pivotArea>
    </chartFormat>
    <chartFormat chart="5" format="11" series="1">
      <pivotArea type="data" outline="0" fieldPosition="0">
        <references count="2">
          <reference field="4294967294" count="1" selected="0">
            <x v="0"/>
          </reference>
          <reference field="3" count="1" selected="0">
            <x v="2"/>
          </reference>
        </references>
      </pivotArea>
    </chartFormat>
    <chartFormat chart="5" format="12" series="1">
      <pivotArea type="data" outline="0" fieldPosition="0">
        <references count="2">
          <reference field="4294967294" count="1" selected="0">
            <x v="0"/>
          </reference>
          <reference field="3" count="1" selected="0">
            <x v="3"/>
          </reference>
        </references>
      </pivotArea>
    </chartFormat>
    <chartFormat chart="5"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65EB6D-A9E2-4BE2-ACD5-8BB90AC87A32}" name="PivotTable15"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9">
  <location ref="B170:C179" firstHeaderRow="1" firstDataRow="1" firstDataCol="1"/>
  <pivotFields count="10">
    <pivotField numFmtId="14" showAll="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2"/>
        <item h="1" x="3"/>
        <item h="1" x="4"/>
        <item h="1" x="0"/>
        <item h="1" x="1"/>
        <item t="default"/>
      </items>
    </pivotField>
    <pivotField axis="axisRow" showAll="0">
      <items count="5">
        <item x="1"/>
        <item x="3"/>
        <item x="2"/>
        <item x="0"/>
        <item t="default"/>
      </items>
    </pivotField>
    <pivotField showAll="0"/>
    <pivotField dataField="1" showAll="0">
      <items count="31">
        <item x="29"/>
        <item x="7"/>
        <item x="25"/>
        <item x="23"/>
        <item x="2"/>
        <item x="16"/>
        <item x="0"/>
        <item x="3"/>
        <item x="18"/>
        <item x="11"/>
        <item x="14"/>
        <item x="9"/>
        <item x="22"/>
        <item x="28"/>
        <item x="20"/>
        <item x="4"/>
        <item x="1"/>
        <item x="8"/>
        <item x="10"/>
        <item x="12"/>
        <item x="5"/>
        <item x="6"/>
        <item x="26"/>
        <item x="27"/>
        <item x="15"/>
        <item x="24"/>
        <item x="21"/>
        <item x="19"/>
        <item x="13"/>
        <item x="17"/>
        <item t="default"/>
      </items>
    </pivotField>
    <pivotField showAll="0">
      <items count="3">
        <item x="0"/>
        <item x="1"/>
        <item t="default"/>
      </items>
    </pivotField>
    <pivotField axis="axisRow" showAll="0">
      <items count="4">
        <item x="1"/>
        <item x="2"/>
        <item x="0"/>
        <item t="default"/>
      </items>
    </pivotField>
    <pivotField dragToRow="0" dragToCol="0" dragToPage="0" showAll="0" defaultSubtotal="0"/>
    <pivotField dragToRow="0" dragToCol="0" dragToPage="0" showAll="0" defaultSubtotal="0"/>
  </pivotFields>
  <rowFields count="2">
    <field x="7"/>
    <field x="3"/>
  </rowFields>
  <rowItems count="9">
    <i>
      <x/>
    </i>
    <i r="1">
      <x v="2"/>
    </i>
    <i>
      <x v="1"/>
    </i>
    <i r="1">
      <x v="1"/>
    </i>
    <i>
      <x v="2"/>
    </i>
    <i r="1">
      <x/>
    </i>
    <i r="1">
      <x v="2"/>
    </i>
    <i r="1">
      <x v="3"/>
    </i>
    <i t="grand">
      <x/>
    </i>
  </rowItems>
  <colItems count="1">
    <i/>
  </colItems>
  <dataFields count="1">
    <dataField name="Sum of Revenue" fld="5" showDataAs="percentOfTotal" baseField="0" baseItem="0" numFmtId="1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4BBB6C0-F0E4-43CD-8C28-7826F649FEA7}" name="PivotTable3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17:S22" firstHeaderRow="1" firstDataRow="2" firstDataCol="1"/>
  <pivotFields count="10">
    <pivotField numFmtId="14" showAll="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2"/>
        <item h="1" x="3"/>
        <item h="1" x="4"/>
        <item h="1" x="0"/>
        <item h="1" x="1"/>
        <item t="default"/>
      </items>
    </pivotField>
    <pivotField axis="axisCol" showAll="0">
      <items count="5">
        <item x="1"/>
        <item x="3"/>
        <item x="2"/>
        <item x="0"/>
        <item t="default"/>
      </items>
    </pivotField>
    <pivotField showAll="0"/>
    <pivotField showAll="0"/>
    <pivotField showAll="0">
      <items count="3">
        <item x="0"/>
        <item x="1"/>
        <item t="default"/>
      </items>
    </pivotField>
    <pivotField axis="axisRow" dataField="1" showAll="0">
      <items count="4">
        <item x="1"/>
        <item x="2"/>
        <item x="0"/>
        <item t="default"/>
      </items>
    </pivotField>
    <pivotField dragToRow="0" dragToCol="0" dragToPage="0" showAll="0" defaultSubtotal="0"/>
    <pivotField dragToRow="0" dragToCol="0" dragToPage="0" showAll="0" defaultSubtotal="0"/>
  </pivotFields>
  <rowFields count="1">
    <field x="7"/>
  </rowFields>
  <rowItems count="4">
    <i>
      <x/>
    </i>
    <i>
      <x v="1"/>
    </i>
    <i>
      <x v="2"/>
    </i>
    <i t="grand">
      <x/>
    </i>
  </rowItems>
  <colFields count="1">
    <field x="3"/>
  </colFields>
  <colItems count="5">
    <i>
      <x/>
    </i>
    <i>
      <x v="1"/>
    </i>
    <i>
      <x v="2"/>
    </i>
    <i>
      <x v="3"/>
    </i>
    <i t="grand">
      <x/>
    </i>
  </colItems>
  <dataFields count="1">
    <dataField name="Count of Produc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7E90CAF-110A-4E08-B6B4-67AE58ED460B}" name="PivotTable6"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BA4:BE8" firstHeaderRow="0" firstDataRow="1" firstDataCol="2"/>
  <pivotFields count="10">
    <pivotField compact="0" numFmtId="14" outline="0" showAll="0" defaultSubtotal="0"/>
    <pivotField compact="0" outline="0"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compact="0" outline="0" showAll="0" sortType="descending" defaultSubtotal="0">
      <items count="5">
        <item sd="0" x="2"/>
        <item h="1" x="3"/>
        <item h="1" x="4"/>
        <item h="1" x="0"/>
        <item h="1" x="1"/>
      </items>
      <autoSortScope>
        <pivotArea dataOnly="0" outline="0" fieldPosition="0">
          <references count="1">
            <reference field="4294967294" count="1" selected="0">
              <x v="0"/>
            </reference>
          </references>
        </pivotArea>
      </autoSortScope>
    </pivotField>
    <pivotField compact="0" outline="0" showAll="0" defaultSubtotal="0">
      <items count="4">
        <item x="1"/>
        <item x="3"/>
        <item x="2"/>
        <item x="0"/>
      </items>
    </pivotField>
    <pivotField compact="0" outline="0" showAll="0" defaultSubtotal="0"/>
    <pivotField dataField="1" compact="0" outline="0" showAll="0" defaultSubtotal="0"/>
    <pivotField compact="0" outline="0" showAll="0" defaultSubtotal="0">
      <items count="2">
        <item x="0"/>
        <item x="1"/>
      </items>
    </pivotField>
    <pivotField axis="axisRow" compact="0" outline="0" showAll="0" defaultSubtotal="0">
      <items count="3">
        <item x="1"/>
        <item x="2"/>
        <item x="0"/>
      </items>
    </pivotField>
    <pivotField compact="0" outline="0" subtotalTop="0" dragToRow="0" dragToCol="0" dragToPage="0" showAll="0" defaultSubtotal="0"/>
    <pivotField dataField="1" compact="0" outline="0" subtotalTop="0" dragToRow="0" dragToCol="0" dragToPage="0" showAll="0" defaultSubtotal="0"/>
  </pivotFields>
  <rowFields count="2">
    <field x="7"/>
    <field x="2"/>
  </rowFields>
  <rowItems count="4">
    <i>
      <x/>
      <x/>
    </i>
    <i>
      <x v="1"/>
      <x/>
    </i>
    <i>
      <x v="2"/>
      <x/>
    </i>
    <i t="grand">
      <x/>
    </i>
  </rowItems>
  <colFields count="1">
    <field x="-2"/>
  </colFields>
  <colItems count="3">
    <i>
      <x/>
    </i>
    <i i="1">
      <x v="1"/>
    </i>
    <i i="2">
      <x v="2"/>
    </i>
  </colItems>
  <dataFields count="3">
    <dataField name="Sum of Revenue" fld="5" baseField="0" baseItem="0"/>
    <dataField name="Sum of Revenue2" fld="5" showDataAs="percentOfTotal" baseField="0" baseItem="0" numFmtId="10"/>
    <dataField name="Sum of Per Of Total Reveune " fld="9" baseField="0" baseItem="0" numFmtId="10"/>
  </dataFields>
  <formats count="1">
    <format dxfId="21">
      <pivotArea outline="0" fieldPosition="0">
        <references count="1">
          <reference field="4294967294" count="1" selected="0">
            <x v="2"/>
          </reference>
        </references>
      </pivotArea>
    </format>
  </formats>
  <pivotTableStyleInfo name="PivotStyleMedium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AC4F945-E26D-45C0-AE7F-B79040D35F31}" name="PivotTable38"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I16:AL40" firstHeaderRow="0" firstDataRow="1" firstDataCol="2"/>
  <pivotFields count="10">
    <pivotField compact="0" numFmtId="14" outline="0" subtotalTop="0" showAll="0"/>
    <pivotField compact="0" outline="0" subtotalTop="0" showAll="0"/>
    <pivotField axis="axisRow" compact="0" outline="0" subtotalTop="0" showAll="0">
      <items count="6">
        <item x="2"/>
        <item x="3"/>
        <item x="4"/>
        <item x="0"/>
        <item x="1"/>
        <item t="default"/>
      </items>
    </pivotField>
    <pivotField axis="axisRow" compact="0" outline="0" subtotalTop="0" showAll="0">
      <items count="5">
        <item x="1"/>
        <item x="3"/>
        <item x="2"/>
        <item x="0"/>
        <item t="default"/>
      </items>
    </pivotField>
    <pivotField dataField="1" compact="0" outline="0" subtotalTop="0" showAll="0"/>
    <pivotField dataField="1" compact="0" outline="0" subtotalTop="0" showAll="0"/>
    <pivotField compact="0" outline="0" subtotalTop="0" showAll="0"/>
    <pivotField compact="0" outline="0" subtotalTop="0" showAll="0"/>
    <pivotField compact="0" outline="0" subtotalTop="0" dragToRow="0" dragToCol="0" dragToPage="0" showAll="0" defaultSubtotal="0"/>
    <pivotField compact="0" outline="0" subtotalTop="0" dragToRow="0" dragToCol="0" dragToPage="0" showAll="0" defaultSubtotal="0"/>
  </pivotFields>
  <rowFields count="2">
    <field x="2"/>
    <field x="3"/>
  </rowFields>
  <rowItems count="24">
    <i>
      <x/>
      <x/>
    </i>
    <i r="1">
      <x v="1"/>
    </i>
    <i r="1">
      <x v="2"/>
    </i>
    <i r="1">
      <x v="3"/>
    </i>
    <i t="default">
      <x/>
    </i>
    <i>
      <x v="1"/>
      <x/>
    </i>
    <i r="1">
      <x v="1"/>
    </i>
    <i r="1">
      <x v="2"/>
    </i>
    <i r="1">
      <x v="3"/>
    </i>
    <i t="default">
      <x v="1"/>
    </i>
    <i>
      <x v="2"/>
      <x/>
    </i>
    <i r="1">
      <x v="2"/>
    </i>
    <i t="default">
      <x v="2"/>
    </i>
    <i>
      <x v="3"/>
      <x/>
    </i>
    <i r="1">
      <x v="1"/>
    </i>
    <i r="1">
      <x v="2"/>
    </i>
    <i r="1">
      <x v="3"/>
    </i>
    <i t="default">
      <x v="3"/>
    </i>
    <i>
      <x v="4"/>
      <x/>
    </i>
    <i r="1">
      <x v="1"/>
    </i>
    <i r="1">
      <x v="2"/>
    </i>
    <i r="1">
      <x v="3"/>
    </i>
    <i t="default">
      <x v="4"/>
    </i>
    <i t="grand">
      <x/>
    </i>
  </rowItems>
  <colFields count="1">
    <field x="-2"/>
  </colFields>
  <colItems count="2">
    <i>
      <x/>
    </i>
    <i i="1">
      <x v="1"/>
    </i>
  </colItems>
  <dataFields count="2">
    <dataField name="Sum of Revenue" fld="5" showDataAs="percentOfTotal" baseField="0" baseItem="0" numFmtId="10"/>
    <dataField name="No. of Deals Closed" fld="4" baseField="3" baseItem="0"/>
  </dataFields>
  <formats count="5">
    <format dxfId="26">
      <pivotArea dataOnly="0" labelOnly="1" outline="0" fieldPosition="0">
        <references count="1">
          <reference field="2" count="1">
            <x v="0"/>
          </reference>
        </references>
      </pivotArea>
    </format>
    <format dxfId="25">
      <pivotArea dataOnly="0" labelOnly="1" outline="0" fieldPosition="0">
        <references count="1">
          <reference field="2" count="1">
            <x v="0"/>
          </reference>
        </references>
      </pivotArea>
    </format>
    <format dxfId="24">
      <pivotArea dataOnly="0" labelOnly="1" outline="0" fieldPosition="0">
        <references count="1">
          <reference field="2" count="1">
            <x v="0"/>
          </reference>
        </references>
      </pivotArea>
    </format>
    <format dxfId="23">
      <pivotArea dataOnly="0" labelOnly="1" outline="0" fieldPosition="0">
        <references count="1">
          <reference field="2" count="1">
            <x v="0"/>
          </reference>
        </references>
      </pivotArea>
    </format>
    <format dxfId="22">
      <pivotArea dataOnly="0" labelOnly="1" outline="0" fieldPosition="0">
        <references count="1">
          <reference field="2" count="1">
            <x v="0"/>
          </reference>
        </references>
      </pivotArea>
    </format>
  </formats>
  <conditionalFormats count="2">
    <conditionalFormat priority="24">
      <pivotAreas count="1">
        <pivotArea type="data" outline="0" collapsedLevelsAreSubtotals="1" fieldPosition="0">
          <references count="3">
            <reference field="4294967294" count="1" selected="0">
              <x v="1"/>
            </reference>
            <reference field="2" count="5" selected="0">
              <x v="0"/>
              <x v="1"/>
              <x v="2"/>
              <x v="3"/>
              <x v="4"/>
            </reference>
            <reference field="3" count="4" selected="0">
              <x v="0"/>
              <x v="1"/>
              <x v="2"/>
              <x v="3"/>
            </reference>
          </references>
        </pivotArea>
      </pivotAreas>
    </conditionalFormat>
    <conditionalFormat priority="26">
      <pivotAreas count="1">
        <pivotArea type="data" outline="0" collapsedLevelsAreSubtotals="1" fieldPosition="0">
          <references count="3">
            <reference field="4294967294" count="1" selected="0">
              <x v="0"/>
            </reference>
            <reference field="2" count="5" selected="0">
              <x v="0"/>
              <x v="1"/>
              <x v="2"/>
              <x v="3"/>
              <x v="4"/>
            </reference>
            <reference field="3" count="4" selected="0">
              <x v="0"/>
              <x v="1"/>
              <x v="2"/>
              <x v="3"/>
            </reference>
          </references>
        </pivotArea>
      </pivotAreas>
    </conditionalFormat>
  </conditionalFormat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79D8ED9-38CC-4C6E-AA33-A3D2276DA8B0}"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9">
  <location ref="X3:AB14" firstHeaderRow="0" firstDataRow="1" firstDataCol="3"/>
  <pivotFields count="10">
    <pivotField compact="0" numFmtId="14" outline="0" subtotalTop="0" showAll="0">
      <extLst>
        <ext xmlns:x14="http://schemas.microsoft.com/office/spreadsheetml/2009/9/main" uri="{2946ED86-A175-432a-8AC1-64E0C546D7DE}">
          <x14:pivotField fillDownLabels="1"/>
        </ext>
      </extLst>
    </pivotField>
    <pivotField compact="0" outline="0" subtotalTop="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extLst>
        <ext xmlns:x14="http://schemas.microsoft.com/office/spreadsheetml/2009/9/main" uri="{2946ED86-A175-432a-8AC1-64E0C546D7DE}">
          <x14:pivotField fillDownLabels="1"/>
        </ext>
      </extLst>
    </pivotField>
    <pivotField axis="axisRow" compact="0" outline="0" subtotalTop="0" showAll="0">
      <items count="6">
        <item x="2"/>
        <item h="1" x="3"/>
        <item h="1" x="4"/>
        <item h="1" x="0"/>
        <item h="1" x="1"/>
        <item t="default"/>
      </items>
      <extLst>
        <ext xmlns:x14="http://schemas.microsoft.com/office/spreadsheetml/2009/9/main" uri="{2946ED86-A175-432a-8AC1-64E0C546D7DE}">
          <x14:pivotField fillDownLabels="1"/>
        </ext>
      </extLst>
    </pivotField>
    <pivotField compact="0" outline="0" subtotalTop="0" showAll="0">
      <items count="5">
        <item x="1"/>
        <item x="3"/>
        <item x="2"/>
        <item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axis="axisRow" compact="0" outline="0" subtotalTop="0" showAll="0">
      <items count="3">
        <item x="0"/>
        <item x="1"/>
        <item t="default"/>
      </items>
      <extLst>
        <ext xmlns:x14="http://schemas.microsoft.com/office/spreadsheetml/2009/9/main" uri="{2946ED86-A175-432a-8AC1-64E0C546D7DE}">
          <x14:pivotField fillDownLabels="1"/>
        </ext>
      </extLst>
    </pivotField>
    <pivotField axis="axisRow" compact="0" outline="0" subtotalTop="0" showAll="0" sortType="descending">
      <items count="4">
        <item x="1"/>
        <item x="2"/>
        <item x="0"/>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3">
    <field x="6"/>
    <field x="7"/>
    <field x="2"/>
  </rowFields>
  <rowItems count="11">
    <i>
      <x/>
      <x v="2"/>
      <x/>
    </i>
    <i t="default" r="1">
      <x v="2"/>
    </i>
    <i r="1">
      <x v="1"/>
      <x/>
    </i>
    <i t="default" r="1">
      <x v="1"/>
    </i>
    <i t="default">
      <x/>
    </i>
    <i>
      <x v="1"/>
      <x/>
      <x/>
    </i>
    <i t="default" r="1">
      <x/>
    </i>
    <i r="1">
      <x v="2"/>
      <x/>
    </i>
    <i t="default" r="1">
      <x v="2"/>
    </i>
    <i t="default">
      <x v="1"/>
    </i>
    <i t="grand">
      <x/>
    </i>
  </rowItems>
  <colFields count="1">
    <field x="-2"/>
  </colFields>
  <colItems count="2">
    <i>
      <x/>
    </i>
    <i i="1">
      <x v="1"/>
    </i>
  </colItems>
  <dataFields count="2">
    <dataField name="Sum of Revenue" fld="5" baseField="0" baseItem="0"/>
    <dataField name="Sum of Revenue2" fld="5" showDataAs="percentOfTotal" baseField="0" baseItem="0" numFmtId="10"/>
  </dataFields>
  <chartFormats count="17">
    <chartFormat chart="17" format="3" series="1">
      <pivotArea type="data" outline="0" fieldPosition="0">
        <references count="2">
          <reference field="4294967294" count="1" selected="0">
            <x v="0"/>
          </reference>
          <reference field="7" count="1" selected="0">
            <x v="1"/>
          </reference>
        </references>
      </pivotArea>
    </chartFormat>
    <chartFormat chart="17" format="4" series="1">
      <pivotArea type="data" outline="0" fieldPosition="0">
        <references count="2">
          <reference field="4294967294" count="1" selected="0">
            <x v="0"/>
          </reference>
          <reference field="7" count="1" selected="0">
            <x v="2"/>
          </reference>
        </references>
      </pivotArea>
    </chartFormat>
    <chartFormat chart="17" format="5" series="1">
      <pivotArea type="data" outline="0" fieldPosition="0">
        <references count="2">
          <reference field="4294967294" count="1" selected="0">
            <x v="0"/>
          </reference>
          <reference field="7" count="1" selected="0">
            <x v="0"/>
          </reference>
        </references>
      </pivotArea>
    </chartFormat>
    <chartFormat chart="17" format="7"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pivotArea type="data" outline="0" fieldPosition="0">
        <references count="4">
          <reference field="4294967294" count="1" selected="0">
            <x v="0"/>
          </reference>
          <reference field="2" count="1" selected="0">
            <x v="3"/>
          </reference>
          <reference field="6" count="1" selected="0">
            <x v="1"/>
          </reference>
          <reference field="7" count="1" selected="0">
            <x v="0"/>
          </reference>
        </references>
      </pivotArea>
    </chartFormat>
    <chartFormat chart="22" format="3">
      <pivotArea type="data" outline="0" fieldPosition="0">
        <references count="4">
          <reference field="4294967294" count="1" selected="0">
            <x v="0"/>
          </reference>
          <reference field="2" count="1" selected="0">
            <x v="0"/>
          </reference>
          <reference field="6" count="1" selected="0">
            <x v="1"/>
          </reference>
          <reference field="7" count="1" selected="0">
            <x v="0"/>
          </reference>
        </references>
      </pivotArea>
    </chartFormat>
    <chartFormat chart="22" format="4">
      <pivotArea type="data" outline="0" fieldPosition="0">
        <references count="4">
          <reference field="4294967294" count="1" selected="0">
            <x v="0"/>
          </reference>
          <reference field="2" count="1" selected="0">
            <x v="4"/>
          </reference>
          <reference field="6" count="1" selected="0">
            <x v="1"/>
          </reference>
          <reference field="7" count="1" selected="0">
            <x v="0"/>
          </reference>
        </references>
      </pivotArea>
    </chartFormat>
    <chartFormat chart="22" format="5">
      <pivotArea type="data" outline="0" fieldPosition="0">
        <references count="4">
          <reference field="4294967294" count="1" selected="0">
            <x v="0"/>
          </reference>
          <reference field="2" count="1" selected="0">
            <x v="0"/>
          </reference>
          <reference field="6" count="1" selected="0">
            <x v="0"/>
          </reference>
          <reference field="7" count="1" selected="0">
            <x v="2"/>
          </reference>
        </references>
      </pivotArea>
    </chartFormat>
    <chartFormat chart="22" format="6">
      <pivotArea type="data" outline="0" fieldPosition="0">
        <references count="4">
          <reference field="4294967294" count="1" selected="0">
            <x v="0"/>
          </reference>
          <reference field="2" count="1" selected="0">
            <x v="0"/>
          </reference>
          <reference field="6" count="1" selected="0">
            <x v="0"/>
          </reference>
          <reference field="7" count="1" selected="0">
            <x v="1"/>
          </reference>
        </references>
      </pivotArea>
    </chartFormat>
    <chartFormat chart="22" format="7">
      <pivotArea type="data" outline="0" fieldPosition="0">
        <references count="4">
          <reference field="4294967294" count="1" selected="0">
            <x v="0"/>
          </reference>
          <reference field="2" count="1" selected="0">
            <x v="0"/>
          </reference>
          <reference field="6" count="1" selected="0">
            <x v="1"/>
          </reference>
          <reference field="7" count="1" selected="0">
            <x v="2"/>
          </reference>
        </references>
      </pivotArea>
    </chartFormat>
    <chartFormat chart="22" format="8">
      <pivotArea type="data" outline="0" fieldPosition="0">
        <references count="4">
          <reference field="4294967294" count="1" selected="0">
            <x v="1"/>
          </reference>
          <reference field="2" count="1" selected="0">
            <x v="0"/>
          </reference>
          <reference field="6" count="1" selected="0">
            <x v="0"/>
          </reference>
          <reference field="7" count="1" selected="0">
            <x v="2"/>
          </reference>
        </references>
      </pivotArea>
    </chartFormat>
    <chartFormat chart="22" format="9">
      <pivotArea type="data" outline="0" fieldPosition="0">
        <references count="4">
          <reference field="4294967294" count="1" selected="0">
            <x v="1"/>
          </reference>
          <reference field="2" count="1" selected="0">
            <x v="0"/>
          </reference>
          <reference field="6" count="1" selected="0">
            <x v="0"/>
          </reference>
          <reference field="7" count="1" selected="0">
            <x v="1"/>
          </reference>
        </references>
      </pivotArea>
    </chartFormat>
    <chartFormat chart="22" format="10">
      <pivotArea type="data" outline="0" fieldPosition="0">
        <references count="4">
          <reference field="4294967294" count="1" selected="0">
            <x v="1"/>
          </reference>
          <reference field="2" count="1" selected="0">
            <x v="0"/>
          </reference>
          <reference field="6" count="1" selected="0">
            <x v="1"/>
          </reference>
          <reference field="7" count="1" selected="0">
            <x v="0"/>
          </reference>
        </references>
      </pivotArea>
    </chartFormat>
    <chartFormat chart="22" format="11">
      <pivotArea type="data" outline="0" fieldPosition="0">
        <references count="4">
          <reference field="4294967294" count="1" selected="0">
            <x v="1"/>
          </reference>
          <reference field="2" count="1" selected="0">
            <x v="0"/>
          </reference>
          <reference field="6" count="1" selected="0">
            <x v="1"/>
          </reference>
          <reference field="7" count="1" selected="0">
            <x v="2"/>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EF1A749E-8E78-46BD-B219-CE4C1F9B4B7B}" sourceName="Sales Rep">
  <pivotTables>
    <pivotTable tabId="7" name="PivotTable9"/>
    <pivotTable tabId="7" name="PivotTable19"/>
    <pivotTable tabId="7" name="PivotTable1"/>
    <pivotTable tabId="7" name="PivotTable39"/>
    <pivotTable tabId="7" name="PivotTable40"/>
    <pivotTable tabId="7" name="PivotTable41"/>
    <pivotTable tabId="7" name="PivotTable42"/>
    <pivotTable tabId="7" name="PivotTable2"/>
    <pivotTable tabId="7" name="PivotTable3"/>
    <pivotTable tabId="7" name="PivotTable4"/>
    <pivotTable tabId="7" name="PivotTable5"/>
    <pivotTable tabId="7" name="PivotTable6"/>
    <pivotTable tabId="7" name="PivotTable7"/>
    <pivotTable tabId="7" name="PivotTable15"/>
  </pivotTables>
  <data>
    <tabular pivotCacheId="1888389991">
      <items count="5">
        <i x="2"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CA9C49-2BAF-4D7F-AA26-44C130E2E788}" sourceName="Region">
  <pivotTables>
    <pivotTable tabId="7" name="PivotTable9"/>
    <pivotTable tabId="7" name="PivotTable19"/>
    <pivotTable tabId="7" name="PivotTable1"/>
    <pivotTable tabId="7" name="PivotTable39"/>
    <pivotTable tabId="7" name="PivotTable40"/>
    <pivotTable tabId="7" name="PivotTable41"/>
    <pivotTable tabId="7" name="PivotTable42"/>
    <pivotTable tabId="7" name="PivotTable2"/>
    <pivotTable tabId="7" name="PivotTable3"/>
    <pivotTable tabId="7" name="PivotTable4"/>
    <pivotTable tabId="7" name="PivotTable5"/>
    <pivotTable tabId="7" name="PivotTable6"/>
    <pivotTable tabId="7" name="PivotTable7"/>
    <pivotTable tabId="7" name="PivotTable15"/>
  </pivotTables>
  <data>
    <tabular pivotCacheId="1888389991">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A26DD23-A918-4308-B00F-18A6D0DCE89A}" sourceName="Customer Type">
  <pivotTables>
    <pivotTable tabId="7" name="PivotTable9"/>
    <pivotTable tabId="7" name="PivotTable19"/>
    <pivotTable tabId="7" name="PivotTable1"/>
    <pivotTable tabId="7" name="PivotTable39"/>
    <pivotTable tabId="7" name="PivotTable40"/>
    <pivotTable tabId="7" name="PivotTable41"/>
    <pivotTable tabId="7" name="PivotTable42"/>
    <pivotTable tabId="7" name="PivotTable2"/>
    <pivotTable tabId="7" name="PivotTable3"/>
    <pivotTable tabId="7" name="PivotTable4"/>
    <pivotTable tabId="7" name="PivotTable5"/>
    <pivotTable tabId="7" name="PivotTable6"/>
    <pivotTable tabId="7" name="PivotTable7"/>
    <pivotTable tabId="7" name="PivotTable15"/>
  </pivotTables>
  <data>
    <tabular pivotCacheId="188838999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D52ABDF-B543-46E9-B007-789F5C3C268D}" sourceName="Product">
  <pivotTables>
    <pivotTable tabId="7" name="PivotTable9"/>
    <pivotTable tabId="7" name="PivotTable19"/>
    <pivotTable tabId="7" name="PivotTable1"/>
    <pivotTable tabId="7" name="PivotTable39"/>
    <pivotTable tabId="7" name="PivotTable40"/>
    <pivotTable tabId="7" name="PivotTable41"/>
    <pivotTable tabId="7" name="PivotTable42"/>
    <pivotTable tabId="7" name="PivotTable2"/>
    <pivotTable tabId="7" name="PivotTable3"/>
    <pivotTable tabId="7" name="PivotTable4"/>
    <pivotTable tabId="7" name="PivotTable5"/>
    <pivotTable tabId="7" name="PivotTable6"/>
    <pivotTable tabId="7" name="PivotTable7"/>
    <pivotTable tabId="7" name="PivotTable15"/>
  </pivotTables>
  <data>
    <tabular pivotCacheId="1888389991">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39BE71A6-EE87-4F99-BA26-38685F59C846}" sourceName="Day">
  <pivotTables>
    <pivotTable tabId="7" name="PivotTable9"/>
    <pivotTable tabId="7" name="PivotTable19"/>
    <pivotTable tabId="7" name="PivotTable1"/>
    <pivotTable tabId="7" name="PivotTable39"/>
    <pivotTable tabId="7" name="PivotTable40"/>
    <pivotTable tabId="7" name="PivotTable41"/>
    <pivotTable tabId="7" name="PivotTable42"/>
    <pivotTable tabId="7" name="PivotTable2"/>
    <pivotTable tabId="7" name="PivotTable3"/>
    <pivotTable tabId="7" name="PivotTable4"/>
    <pivotTable tabId="7" name="PivotTable5"/>
    <pivotTable tabId="7" name="PivotTable6"/>
    <pivotTable tabId="7" name="PivotTable7"/>
    <pivotTable tabId="7" name="PivotTable15"/>
  </pivotTables>
  <data>
    <tabular pivotCacheId="1888389991">
      <items count="30">
        <i x="2" s="1"/>
        <i x="6" s="1"/>
        <i x="7" s="1"/>
        <i x="8" s="1"/>
        <i x="11" s="1"/>
        <i x="25" s="1"/>
        <i x="26" s="1"/>
        <i x="0" s="1" nd="1"/>
        <i x="1" s="1" nd="1"/>
        <i x="3" s="1" nd="1"/>
        <i x="4" s="1" nd="1"/>
        <i x="5" s="1" nd="1"/>
        <i x="9" s="1" nd="1"/>
        <i x="10" s="1" nd="1"/>
        <i x="12" s="1" nd="1"/>
        <i x="13" s="1" nd="1"/>
        <i x="14" s="1" nd="1"/>
        <i x="15" s="1" nd="1"/>
        <i x="16" s="1" nd="1"/>
        <i x="17" s="1" nd="1"/>
        <i x="18" s="1" nd="1"/>
        <i x="19" s="1" nd="1"/>
        <i x="20" s="1" nd="1"/>
        <i x="21" s="1" nd="1"/>
        <i x="22" s="1" nd="1"/>
        <i x="23" s="1" nd="1"/>
        <i x="24" s="1" nd="1"/>
        <i x="27" s="1" nd="1"/>
        <i x="28" s="1" nd="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756C2C45-7F77-4084-B000-1399232DF0BE}" cache="Slicer_Sales_Rep" caption="Sales Representative " style="SlicerStyleDark1" rowHeight="1080000"/>
  <slicer name="Region" xr10:uid="{E9217963-3E74-4C33-823A-249E02303295}" cache="Slicer_Region" caption="Region" style="SlicerStyleDark1" rowHeight="504000"/>
  <slicer name="Customer Type" xr10:uid="{46836399-1786-4F7C-837C-056106CB6EC4}" cache="Slicer_Customer_Type" caption="Customer Type" columnCount="2" style="SlicerStyleDark1" rowHeight="468000"/>
  <slicer name="Product" xr10:uid="{59D95C10-94D3-46B2-B8C5-8EE82498C73D}" cache="Slicer_Product" caption="Product" style="SlicerStyleDark1" rowHeight="684000"/>
  <slicer name="Day" xr10:uid="{204C3FBF-A0DB-4A31-ACA9-C5414C2E6104}" cache="Slicer_Day" caption="Day" columnCount="6"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90C2DA-C482-4D1B-A566-5C9B0CEA420B}" name="Table1" displayName="Table1" ref="A1:I41" totalsRowShown="0">
  <autoFilter ref="A1:I41" xr:uid="{8790C2DA-C482-4D1B-A566-5C9B0CEA420B}"/>
  <tableColumns count="9">
    <tableColumn id="1" xr3:uid="{1EE41980-6EE8-44E6-8FD7-DA8129144101}" name="Date"/>
    <tableColumn id="2" xr3:uid="{4D763D36-4D2E-4AA5-B0A1-B04ED989CD59}" name="Day" dataDxfId="1"/>
    <tableColumn id="3" xr3:uid="{F8A0DD19-A697-4541-8E92-BF467DF9C36C}" name="Sales Rep"/>
    <tableColumn id="4" xr3:uid="{1C166153-8B87-4C02-B217-347D8E2DF718}" name="Region"/>
    <tableColumn id="5" xr3:uid="{13E4FD49-AF3C-49C3-A676-F092EDE01AEC}" name="Deals Closed"/>
    <tableColumn id="6" xr3:uid="{88645C4E-09E0-48C1-ABEE-B53797046ACF}" name="Revenue"/>
    <tableColumn id="7" xr3:uid="{BED8E6F9-94D0-40CA-9AD0-C3B81DB86E4A}" name="Customer Type"/>
    <tableColumn id="8" xr3:uid="{23E71465-E71D-4D90-A470-2C7EC4E4A8EA}" name="Product"/>
    <tableColumn id="9" xr3:uid="{EDC8F7D9-3B4C-4F04-88EB-61550D33FF9B}" name="RepColourKey" dataDxfId="0">
      <calculatedColumnFormula>Table1[[#This Row],[Sales Rep]]</calculatedColumnFormula>
    </tableColumn>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17" Type="http://schemas.openxmlformats.org/officeDocument/2006/relationships/drawing" Target="../drawings/drawing1.xml"/><Relationship Id="rId2" Type="http://schemas.openxmlformats.org/officeDocument/2006/relationships/pivotTable" Target="../pivotTables/pivotTable6.xml"/><Relationship Id="rId16" Type="http://schemas.openxmlformats.org/officeDocument/2006/relationships/pivotTable" Target="../pivotTables/pivotTable20.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5" Type="http://schemas.openxmlformats.org/officeDocument/2006/relationships/pivotTable" Target="../pivotTables/pivotTable1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5FC4E-0EC8-40EC-BEA6-45B7CD1DEB25}">
  <dimension ref="A3:P16"/>
  <sheetViews>
    <sheetView zoomScale="80" workbookViewId="0">
      <selection activeCell="A3" sqref="A3"/>
    </sheetView>
  </sheetViews>
  <sheetFormatPr defaultRowHeight="14.5"/>
  <cols>
    <col min="1" max="1" width="14.453125" bestFit="1" customWidth="1"/>
    <col min="2" max="4" width="6.08984375" bestFit="1" customWidth="1"/>
    <col min="5" max="5" width="6.26953125" bestFit="1" customWidth="1"/>
    <col min="6" max="6" width="7.1796875" bestFit="1" customWidth="1"/>
    <col min="7" max="7" width="10.81640625" bestFit="1" customWidth="1"/>
    <col min="8" max="11" width="4.81640625" bestFit="1" customWidth="1"/>
    <col min="12" max="12" width="13.26953125" bestFit="1" customWidth="1"/>
    <col min="13" max="13" width="18.36328125" bestFit="1" customWidth="1"/>
    <col min="14" max="14" width="5" bestFit="1" customWidth="1"/>
    <col min="15" max="15" width="13.26953125" bestFit="1" customWidth="1"/>
    <col min="16" max="16" width="15.6328125" bestFit="1" customWidth="1"/>
    <col min="17" max="17" width="6.7265625" bestFit="1" customWidth="1"/>
    <col min="18" max="18" width="10.36328125" bestFit="1" customWidth="1"/>
    <col min="19" max="21" width="18.08984375" bestFit="1" customWidth="1"/>
    <col min="22" max="22" width="22.6328125" bestFit="1" customWidth="1"/>
    <col min="23" max="23" width="18.90625" bestFit="1" customWidth="1"/>
    <col min="24" max="24" width="9.453125" bestFit="1" customWidth="1"/>
    <col min="25" max="25" width="7.453125" bestFit="1" customWidth="1"/>
    <col min="26" max="27" width="4.81640625" bestFit="1" customWidth="1"/>
    <col min="28" max="28" width="10.1796875" bestFit="1" customWidth="1"/>
    <col min="29" max="29" width="7.81640625" bestFit="1" customWidth="1"/>
    <col min="30" max="32" width="4.81640625" bestFit="1" customWidth="1"/>
    <col min="33" max="33" width="5.81640625" bestFit="1" customWidth="1"/>
    <col min="34" max="34" width="10.54296875" bestFit="1" customWidth="1"/>
    <col min="35" max="35" width="8.453125" bestFit="1" customWidth="1"/>
    <col min="36" max="41" width="4.81640625" bestFit="1" customWidth="1"/>
    <col min="42" max="42" width="11.1796875" bestFit="1" customWidth="1"/>
    <col min="43" max="43" width="10.36328125" bestFit="1" customWidth="1"/>
  </cols>
  <sheetData>
    <row r="3" spans="1:16">
      <c r="A3" s="4" t="s">
        <v>31</v>
      </c>
      <c r="B3" s="4" t="s">
        <v>33</v>
      </c>
      <c r="O3" s="4" t="s">
        <v>29</v>
      </c>
      <c r="P3" t="s">
        <v>34</v>
      </c>
    </row>
    <row r="4" spans="1:16">
      <c r="A4" s="4" t="s">
        <v>29</v>
      </c>
      <c r="B4" t="s">
        <v>22</v>
      </c>
      <c r="C4" t="s">
        <v>25</v>
      </c>
      <c r="D4" t="s">
        <v>28</v>
      </c>
      <c r="E4" t="s">
        <v>15</v>
      </c>
      <c r="F4" t="s">
        <v>19</v>
      </c>
      <c r="G4" t="s">
        <v>30</v>
      </c>
      <c r="O4" s="5" t="s">
        <v>20</v>
      </c>
      <c r="P4">
        <v>8</v>
      </c>
    </row>
    <row r="5" spans="1:16">
      <c r="A5" s="5" t="s">
        <v>20</v>
      </c>
      <c r="B5">
        <v>14628</v>
      </c>
      <c r="C5">
        <v>8215</v>
      </c>
      <c r="D5">
        <v>3731</v>
      </c>
      <c r="E5">
        <v>4104</v>
      </c>
      <c r="F5">
        <v>19999</v>
      </c>
      <c r="G5">
        <v>50677</v>
      </c>
      <c r="O5" s="5" t="s">
        <v>27</v>
      </c>
      <c r="P5">
        <v>7</v>
      </c>
    </row>
    <row r="6" spans="1:16">
      <c r="A6" s="5" t="s">
        <v>27</v>
      </c>
      <c r="B6">
        <v>12009</v>
      </c>
      <c r="C6">
        <v>9392</v>
      </c>
      <c r="E6">
        <v>8942</v>
      </c>
      <c r="F6">
        <v>19106</v>
      </c>
      <c r="G6">
        <v>49449</v>
      </c>
      <c r="O6" s="5" t="s">
        <v>23</v>
      </c>
      <c r="P6">
        <v>9</v>
      </c>
    </row>
    <row r="7" spans="1:16">
      <c r="A7" s="5" t="s">
        <v>23</v>
      </c>
      <c r="B7">
        <v>4529</v>
      </c>
      <c r="C7">
        <v>15370</v>
      </c>
      <c r="D7">
        <v>10413</v>
      </c>
      <c r="E7">
        <v>10360</v>
      </c>
      <c r="F7">
        <v>3695</v>
      </c>
      <c r="G7">
        <v>44367</v>
      </c>
      <c r="O7" s="5" t="s">
        <v>16</v>
      </c>
      <c r="P7">
        <v>6</v>
      </c>
    </row>
    <row r="8" spans="1:16">
      <c r="A8" s="5" t="s">
        <v>16</v>
      </c>
      <c r="B8">
        <v>1391</v>
      </c>
      <c r="C8">
        <v>6056</v>
      </c>
      <c r="E8">
        <v>15592</v>
      </c>
      <c r="F8">
        <v>4561</v>
      </c>
      <c r="G8">
        <v>27600</v>
      </c>
      <c r="L8" s="4" t="s">
        <v>29</v>
      </c>
      <c r="M8" t="s">
        <v>32</v>
      </c>
      <c r="O8" s="5" t="s">
        <v>30</v>
      </c>
      <c r="P8">
        <v>30</v>
      </c>
    </row>
    <row r="9" spans="1:16">
      <c r="A9" s="5" t="s">
        <v>30</v>
      </c>
      <c r="B9">
        <v>32557</v>
      </c>
      <c r="C9">
        <v>39033</v>
      </c>
      <c r="D9">
        <v>14144</v>
      </c>
      <c r="E9">
        <v>38998</v>
      </c>
      <c r="F9">
        <v>47361</v>
      </c>
      <c r="G9">
        <v>172093</v>
      </c>
      <c r="L9" s="5" t="s">
        <v>22</v>
      </c>
      <c r="M9">
        <v>46</v>
      </c>
    </row>
    <row r="10" spans="1:16">
      <c r="L10" s="5" t="s">
        <v>25</v>
      </c>
      <c r="M10">
        <v>21</v>
      </c>
    </row>
    <row r="11" spans="1:16">
      <c r="L11" s="5" t="s">
        <v>28</v>
      </c>
      <c r="M11">
        <v>20</v>
      </c>
    </row>
    <row r="12" spans="1:16">
      <c r="A12" s="4" t="s">
        <v>31</v>
      </c>
      <c r="B12" s="4" t="s">
        <v>33</v>
      </c>
      <c r="L12" s="5" t="s">
        <v>15</v>
      </c>
      <c r="M12">
        <v>43</v>
      </c>
    </row>
    <row r="13" spans="1:16">
      <c r="A13" s="4" t="s">
        <v>29</v>
      </c>
      <c r="B13" t="s">
        <v>22</v>
      </c>
      <c r="C13" t="s">
        <v>25</v>
      </c>
      <c r="D13" t="s">
        <v>28</v>
      </c>
      <c r="E13" t="s">
        <v>15</v>
      </c>
      <c r="F13" t="s">
        <v>19</v>
      </c>
      <c r="G13" t="s">
        <v>30</v>
      </c>
      <c r="L13" s="5" t="s">
        <v>19</v>
      </c>
      <c r="M13">
        <v>30</v>
      </c>
    </row>
    <row r="14" spans="1:16">
      <c r="A14" s="5" t="s">
        <v>17</v>
      </c>
      <c r="B14">
        <v>28139</v>
      </c>
      <c r="C14">
        <v>29641</v>
      </c>
      <c r="D14">
        <v>5759</v>
      </c>
      <c r="E14">
        <v>16176</v>
      </c>
      <c r="F14">
        <v>29925</v>
      </c>
      <c r="G14">
        <v>109640</v>
      </c>
      <c r="L14" s="5" t="s">
        <v>30</v>
      </c>
      <c r="M14">
        <v>160</v>
      </c>
    </row>
    <row r="15" spans="1:16">
      <c r="A15" s="5" t="s">
        <v>21</v>
      </c>
      <c r="B15">
        <v>4418</v>
      </c>
      <c r="C15">
        <v>9392</v>
      </c>
      <c r="D15">
        <v>8385</v>
      </c>
      <c r="E15">
        <v>22822</v>
      </c>
      <c r="F15">
        <v>17436</v>
      </c>
      <c r="G15">
        <v>62453</v>
      </c>
    </row>
    <row r="16" spans="1:16">
      <c r="A16" s="5" t="s">
        <v>30</v>
      </c>
      <c r="B16">
        <v>32557</v>
      </c>
      <c r="C16">
        <v>39033</v>
      </c>
      <c r="D16">
        <v>14144</v>
      </c>
      <c r="E16">
        <v>38998</v>
      </c>
      <c r="F16">
        <v>47361</v>
      </c>
      <c r="G16">
        <v>172093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40B33-0130-40DD-A496-086602A349F8}">
  <dimension ref="A3:BQ179"/>
  <sheetViews>
    <sheetView tabSelected="1" topLeftCell="I25" zoomScale="29" zoomScaleNormal="55" workbookViewId="0">
      <selection activeCell="BG5" sqref="BG5:BH5"/>
    </sheetView>
  </sheetViews>
  <sheetFormatPr defaultRowHeight="14.5"/>
  <cols>
    <col min="1" max="1" width="14.36328125" bestFit="1" customWidth="1"/>
    <col min="2" max="3" width="6.36328125" bestFit="1" customWidth="1"/>
    <col min="4" max="4" width="8.26953125" bestFit="1" customWidth="1"/>
    <col min="5" max="5" width="6.36328125" bestFit="1" customWidth="1"/>
    <col min="6" max="6" width="10.453125" bestFit="1" customWidth="1"/>
    <col min="7" max="7" width="15" bestFit="1" customWidth="1"/>
    <col min="8" max="8" width="14.453125" bestFit="1" customWidth="1"/>
    <col min="9" max="9" width="15" bestFit="1" customWidth="1"/>
    <col min="10" max="10" width="14.453125" bestFit="1" customWidth="1"/>
    <col min="11" max="11" width="19.54296875" bestFit="1" customWidth="1"/>
    <col min="12" max="12" width="19" bestFit="1" customWidth="1"/>
    <col min="13" max="13" width="10.453125" bestFit="1" customWidth="1"/>
    <col min="14" max="14" width="18.08984375" bestFit="1" customWidth="1"/>
    <col min="15" max="15" width="15.7265625" bestFit="1" customWidth="1"/>
    <col min="16" max="18" width="7.26953125" bestFit="1" customWidth="1"/>
    <col min="19" max="20" width="10.453125" bestFit="1" customWidth="1"/>
    <col min="21" max="21" width="8.81640625" bestFit="1" customWidth="1"/>
    <col min="22" max="22" width="16.90625" bestFit="1" customWidth="1"/>
    <col min="23" max="23" width="19.6328125" bestFit="1" customWidth="1"/>
    <col min="24" max="24" width="13.6328125" bestFit="1" customWidth="1"/>
    <col min="25" max="25" width="12.1796875" bestFit="1" customWidth="1"/>
    <col min="26" max="26" width="12.81640625" bestFit="1" customWidth="1"/>
    <col min="27" max="27" width="10.36328125" bestFit="1" customWidth="1"/>
    <col min="28" max="28" width="11.90625" bestFit="1" customWidth="1"/>
    <col min="29" max="29" width="24" bestFit="1" customWidth="1"/>
    <col min="30" max="30" width="21" bestFit="1" customWidth="1"/>
    <col min="31" max="31" width="7.90625" bestFit="1" customWidth="1"/>
    <col min="32" max="32" width="13.90625" bestFit="1" customWidth="1"/>
    <col min="33" max="33" width="19.26953125" bestFit="1" customWidth="1"/>
    <col min="34" max="34" width="18.08984375" bestFit="1" customWidth="1"/>
    <col min="35" max="35" width="12.453125" bestFit="1" customWidth="1"/>
    <col min="36" max="36" width="8.90625" bestFit="1" customWidth="1"/>
    <col min="37" max="37" width="14.453125" bestFit="1" customWidth="1"/>
    <col min="38" max="38" width="17.453125" bestFit="1" customWidth="1"/>
    <col min="39" max="39" width="12.1796875" bestFit="1" customWidth="1"/>
    <col min="40" max="40" width="8.54296875" bestFit="1" customWidth="1"/>
    <col min="41" max="41" width="12.1796875" bestFit="1" customWidth="1"/>
    <col min="42" max="42" width="8.54296875" bestFit="1" customWidth="1"/>
    <col min="43" max="43" width="12.1796875" bestFit="1" customWidth="1"/>
    <col min="44" max="44" width="13.08984375" bestFit="1" customWidth="1"/>
    <col min="45" max="45" width="16.7265625" bestFit="1" customWidth="1"/>
    <col min="46" max="46" width="11.1796875" bestFit="1" customWidth="1"/>
    <col min="47" max="47" width="18.1796875" bestFit="1" customWidth="1"/>
    <col min="48" max="48" width="14.453125" bestFit="1" customWidth="1"/>
    <col min="49" max="49" width="21.453125" bestFit="1" customWidth="1"/>
    <col min="50" max="52" width="18.08984375" bestFit="1" customWidth="1"/>
    <col min="53" max="53" width="27.1796875" bestFit="1" customWidth="1"/>
    <col min="54" max="54" width="10.90625" bestFit="1" customWidth="1"/>
    <col min="55" max="55" width="13.7265625" bestFit="1" customWidth="1"/>
    <col min="56" max="56" width="14.7265625" bestFit="1" customWidth="1"/>
    <col min="57" max="57" width="23.90625" bestFit="1" customWidth="1"/>
    <col min="58" max="58" width="17.453125" bestFit="1" customWidth="1"/>
    <col min="59" max="59" width="18.54296875" bestFit="1" customWidth="1"/>
    <col min="60" max="60" width="18.7265625" bestFit="1" customWidth="1"/>
    <col min="61" max="61" width="20.54296875" bestFit="1" customWidth="1"/>
    <col min="62" max="66" width="18.08984375" bestFit="1" customWidth="1"/>
    <col min="67" max="67" width="12.36328125" bestFit="1" customWidth="1"/>
    <col min="68" max="68" width="13.6328125" bestFit="1" customWidth="1"/>
    <col min="69" max="69" width="17.453125" bestFit="1" customWidth="1"/>
    <col min="70" max="70" width="20.54296875" bestFit="1" customWidth="1"/>
    <col min="71" max="71" width="19.54296875" bestFit="1" customWidth="1"/>
  </cols>
  <sheetData>
    <row r="3" spans="2:69">
      <c r="G3" s="6"/>
      <c r="H3" s="6"/>
      <c r="I3" s="6"/>
      <c r="J3" s="6"/>
      <c r="N3" s="4" t="s">
        <v>32</v>
      </c>
      <c r="O3" s="4" t="s">
        <v>35</v>
      </c>
      <c r="X3" s="4" t="s">
        <v>5</v>
      </c>
      <c r="Y3" s="4" t="s">
        <v>6</v>
      </c>
      <c r="Z3" s="4" t="s">
        <v>1</v>
      </c>
      <c r="AA3" t="s">
        <v>31</v>
      </c>
      <c r="AB3" t="s">
        <v>64</v>
      </c>
      <c r="AI3" s="21"/>
      <c r="AJ3" s="34" t="s">
        <v>35</v>
      </c>
      <c r="AK3" s="21"/>
      <c r="AL3" s="21"/>
      <c r="AM3" s="21"/>
      <c r="AN3" s="21"/>
      <c r="AO3" s="21"/>
      <c r="AP3" s="21"/>
      <c r="AQ3" s="21"/>
      <c r="AR3" s="21"/>
      <c r="AS3" s="21"/>
    </row>
    <row r="4" spans="2:69">
      <c r="G4" s="5"/>
      <c r="I4" s="5"/>
      <c r="N4" s="4" t="s">
        <v>29</v>
      </c>
      <c r="O4" t="s">
        <v>20</v>
      </c>
      <c r="P4" t="s">
        <v>27</v>
      </c>
      <c r="Q4" t="s">
        <v>23</v>
      </c>
      <c r="R4" t="s">
        <v>16</v>
      </c>
      <c r="S4" t="s">
        <v>30</v>
      </c>
      <c r="X4" t="s">
        <v>17</v>
      </c>
      <c r="Y4" t="s">
        <v>18</v>
      </c>
      <c r="Z4" t="s">
        <v>22</v>
      </c>
      <c r="AA4">
        <v>16130</v>
      </c>
      <c r="AB4" s="15">
        <v>0.49543876892834104</v>
      </c>
      <c r="AI4" s="21"/>
      <c r="AJ4" s="21" t="s">
        <v>20</v>
      </c>
      <c r="AK4" s="21"/>
      <c r="AL4" s="21" t="s">
        <v>27</v>
      </c>
      <c r="AM4" s="21"/>
      <c r="AN4" s="21" t="s">
        <v>23</v>
      </c>
      <c r="AO4" s="21"/>
      <c r="AP4" s="21" t="s">
        <v>16</v>
      </c>
      <c r="AQ4" s="21"/>
      <c r="AR4" s="21" t="s">
        <v>37</v>
      </c>
      <c r="AS4" s="21" t="s">
        <v>39</v>
      </c>
      <c r="BA4" s="4" t="s">
        <v>6</v>
      </c>
      <c r="BB4" s="4" t="s">
        <v>1</v>
      </c>
      <c r="BC4" t="s">
        <v>31</v>
      </c>
      <c r="BD4" t="s">
        <v>64</v>
      </c>
      <c r="BE4" t="s">
        <v>71</v>
      </c>
      <c r="BL4" s="4" t="s">
        <v>5</v>
      </c>
      <c r="BM4" s="4" t="s">
        <v>6</v>
      </c>
      <c r="BN4" s="4" t="s">
        <v>2</v>
      </c>
      <c r="BO4" s="4" t="s">
        <v>1</v>
      </c>
      <c r="BP4" t="s">
        <v>31</v>
      </c>
      <c r="BQ4" t="s">
        <v>32</v>
      </c>
    </row>
    <row r="5" spans="2:69">
      <c r="G5" s="5"/>
      <c r="I5" s="5"/>
      <c r="N5" s="5" t="s">
        <v>22</v>
      </c>
      <c r="O5">
        <v>6</v>
      </c>
      <c r="P5">
        <v>15</v>
      </c>
      <c r="Q5">
        <v>17</v>
      </c>
      <c r="R5">
        <v>8</v>
      </c>
      <c r="S5">
        <v>46</v>
      </c>
      <c r="X5" t="s">
        <v>17</v>
      </c>
      <c r="Y5" t="s">
        <v>66</v>
      </c>
      <c r="AA5">
        <v>16130</v>
      </c>
      <c r="AB5" s="15">
        <v>0.49543876892834104</v>
      </c>
      <c r="AI5" s="34" t="s">
        <v>29</v>
      </c>
      <c r="AJ5" s="21" t="s">
        <v>38</v>
      </c>
      <c r="AK5" s="21" t="s">
        <v>40</v>
      </c>
      <c r="AL5" s="21" t="s">
        <v>38</v>
      </c>
      <c r="AM5" s="21" t="s">
        <v>40</v>
      </c>
      <c r="AN5" s="21" t="s">
        <v>38</v>
      </c>
      <c r="AO5" s="21" t="s">
        <v>40</v>
      </c>
      <c r="AP5" s="21" t="s">
        <v>38</v>
      </c>
      <c r="AQ5" s="21" t="s">
        <v>40</v>
      </c>
      <c r="AR5" s="21"/>
      <c r="AS5" s="21"/>
      <c r="BA5" t="s">
        <v>24</v>
      </c>
      <c r="BB5" t="s">
        <v>22</v>
      </c>
      <c r="BC5">
        <v>3027</v>
      </c>
      <c r="BD5" s="15">
        <v>9.2975396996037712E-2</v>
      </c>
      <c r="BE5" s="37">
        <v>1.7589326701260365E-2</v>
      </c>
      <c r="BG5" t="s">
        <v>86</v>
      </c>
      <c r="BH5" t="s">
        <v>46</v>
      </c>
      <c r="BL5" t="s">
        <v>17</v>
      </c>
      <c r="BM5" t="s">
        <v>26</v>
      </c>
      <c r="BN5" t="s">
        <v>27</v>
      </c>
      <c r="BO5" t="s">
        <v>22</v>
      </c>
      <c r="BP5">
        <v>12009</v>
      </c>
      <c r="BQ5">
        <v>15</v>
      </c>
    </row>
    <row r="6" spans="2:69">
      <c r="G6" s="5"/>
      <c r="I6" s="5"/>
      <c r="N6" s="5" t="s">
        <v>25</v>
      </c>
      <c r="O6">
        <v>2</v>
      </c>
      <c r="P6">
        <v>6</v>
      </c>
      <c r="Q6">
        <v>5</v>
      </c>
      <c r="R6">
        <v>8</v>
      </c>
      <c r="S6">
        <v>21</v>
      </c>
      <c r="X6" t="s">
        <v>17</v>
      </c>
      <c r="Y6" t="s">
        <v>26</v>
      </c>
      <c r="Z6" t="s">
        <v>22</v>
      </c>
      <c r="AA6">
        <v>12009</v>
      </c>
      <c r="AB6" s="15">
        <v>0.36886076726971156</v>
      </c>
      <c r="AI6" s="21" t="s">
        <v>22</v>
      </c>
      <c r="AJ6" s="35">
        <v>8.500055202710162E-2</v>
      </c>
      <c r="AK6" s="35">
        <v>3.7499999999999999E-2</v>
      </c>
      <c r="AL6" s="35">
        <v>6.978203645703196E-2</v>
      </c>
      <c r="AM6" s="35">
        <v>9.375E-2</v>
      </c>
      <c r="AN6" s="35">
        <v>2.6317165718535908E-2</v>
      </c>
      <c r="AO6" s="35">
        <v>0.10625</v>
      </c>
      <c r="AP6" s="35">
        <v>8.0828389301133684E-3</v>
      </c>
      <c r="AQ6" s="35">
        <v>0.05</v>
      </c>
      <c r="AR6" s="35">
        <v>0.18918259313278285</v>
      </c>
      <c r="AS6" s="35">
        <v>0.28749999999999998</v>
      </c>
      <c r="BA6" t="s">
        <v>26</v>
      </c>
      <c r="BB6" t="s">
        <v>22</v>
      </c>
      <c r="BC6">
        <v>12009</v>
      </c>
      <c r="BD6" s="15">
        <v>0.36886076726971156</v>
      </c>
      <c r="BE6" s="37">
        <v>6.978203645703196E-2</v>
      </c>
      <c r="BM6" t="s">
        <v>18</v>
      </c>
      <c r="BN6" t="s">
        <v>20</v>
      </c>
      <c r="BO6" t="s">
        <v>22</v>
      </c>
      <c r="BP6">
        <v>14628</v>
      </c>
      <c r="BQ6">
        <v>6</v>
      </c>
    </row>
    <row r="7" spans="2:69">
      <c r="G7" s="5"/>
      <c r="I7" s="5"/>
      <c r="N7" s="5" t="s">
        <v>28</v>
      </c>
      <c r="O7">
        <v>7</v>
      </c>
      <c r="Q7">
        <v>13</v>
      </c>
      <c r="S7">
        <v>20</v>
      </c>
      <c r="X7" t="s">
        <v>17</v>
      </c>
      <c r="Y7" t="s">
        <v>67</v>
      </c>
      <c r="AA7">
        <v>12009</v>
      </c>
      <c r="AB7" s="15">
        <v>0.36886076726971156</v>
      </c>
      <c r="AI7" s="21" t="s">
        <v>25</v>
      </c>
      <c r="AJ7" s="35">
        <v>4.7735817261596925E-2</v>
      </c>
      <c r="AK7" s="35">
        <v>1.2500000000000001E-2</v>
      </c>
      <c r="AL7" s="35">
        <v>5.4575142510154391E-2</v>
      </c>
      <c r="AM7" s="35">
        <v>3.7499999999999999E-2</v>
      </c>
      <c r="AN7" s="35">
        <v>8.93121742313749E-2</v>
      </c>
      <c r="AO7" s="35">
        <v>3.125E-2</v>
      </c>
      <c r="AP7" s="35">
        <v>3.5190275025712842E-2</v>
      </c>
      <c r="AQ7" s="35">
        <v>0.05</v>
      </c>
      <c r="AR7" s="35">
        <v>0.22681340902883906</v>
      </c>
      <c r="AS7" s="35">
        <v>0.13125000000000001</v>
      </c>
      <c r="BA7" t="s">
        <v>18</v>
      </c>
      <c r="BB7" t="s">
        <v>22</v>
      </c>
      <c r="BC7">
        <v>17521</v>
      </c>
      <c r="BD7" s="15">
        <v>0.53816383573425075</v>
      </c>
      <c r="BE7" s="37">
        <v>0.10181122997449053</v>
      </c>
      <c r="BN7" t="s">
        <v>23</v>
      </c>
      <c r="BO7" t="s">
        <v>22</v>
      </c>
      <c r="BP7">
        <v>1502</v>
      </c>
      <c r="BQ7">
        <v>9</v>
      </c>
    </row>
    <row r="8" spans="2:69">
      <c r="G8" s="5"/>
      <c r="I8" s="5"/>
      <c r="N8" s="5" t="s">
        <v>15</v>
      </c>
      <c r="O8">
        <v>2</v>
      </c>
      <c r="P8">
        <v>13</v>
      </c>
      <c r="Q8">
        <v>16</v>
      </c>
      <c r="R8">
        <v>12</v>
      </c>
      <c r="S8">
        <v>43</v>
      </c>
      <c r="X8" t="s">
        <v>51</v>
      </c>
      <c r="AA8">
        <v>28139</v>
      </c>
      <c r="AB8" s="15">
        <v>0.86429953619805266</v>
      </c>
      <c r="AI8" s="21" t="s">
        <v>28</v>
      </c>
      <c r="AJ8" s="35">
        <v>2.1680138064883524E-2</v>
      </c>
      <c r="AK8" s="35">
        <v>4.3749999999999997E-2</v>
      </c>
      <c r="AL8" s="35">
        <v>0</v>
      </c>
      <c r="AM8" s="35">
        <v>0</v>
      </c>
      <c r="AN8" s="35">
        <v>6.0507981149727184E-2</v>
      </c>
      <c r="AO8" s="35">
        <v>8.1250000000000003E-2</v>
      </c>
      <c r="AP8" s="35">
        <v>0</v>
      </c>
      <c r="AQ8" s="35">
        <v>0</v>
      </c>
      <c r="AR8" s="35">
        <v>8.2188119214610708E-2</v>
      </c>
      <c r="AS8" s="35">
        <v>0.125</v>
      </c>
      <c r="BA8" t="s">
        <v>30</v>
      </c>
      <c r="BC8">
        <v>32557</v>
      </c>
      <c r="BD8" s="15">
        <v>1</v>
      </c>
      <c r="BE8" s="37">
        <v>0.18918259313278285</v>
      </c>
      <c r="BL8" t="s">
        <v>21</v>
      </c>
      <c r="BM8" t="s">
        <v>24</v>
      </c>
      <c r="BN8" t="s">
        <v>23</v>
      </c>
      <c r="BO8" t="s">
        <v>22</v>
      </c>
      <c r="BP8">
        <v>3027</v>
      </c>
      <c r="BQ8">
        <v>8</v>
      </c>
    </row>
    <row r="9" spans="2:69">
      <c r="G9" s="8"/>
      <c r="H9" s="7"/>
      <c r="I9" s="8"/>
      <c r="J9" s="7"/>
      <c r="N9" s="5" t="s">
        <v>19</v>
      </c>
      <c r="O9">
        <v>12</v>
      </c>
      <c r="P9">
        <v>13</v>
      </c>
      <c r="Q9">
        <v>3</v>
      </c>
      <c r="R9">
        <v>2</v>
      </c>
      <c r="S9">
        <v>30</v>
      </c>
      <c r="X9" t="s">
        <v>21</v>
      </c>
      <c r="Y9" t="s">
        <v>24</v>
      </c>
      <c r="Z9" t="s">
        <v>22</v>
      </c>
      <c r="AA9">
        <v>3027</v>
      </c>
      <c r="AB9" s="15">
        <v>9.2975396996037712E-2</v>
      </c>
      <c r="AI9" s="21" t="s">
        <v>15</v>
      </c>
      <c r="AJ9" s="35">
        <v>2.3847570790212269E-2</v>
      </c>
      <c r="AK9" s="35">
        <v>1.2500000000000001E-2</v>
      </c>
      <c r="AL9" s="35">
        <v>5.1960277291929362E-2</v>
      </c>
      <c r="AM9" s="35">
        <v>8.1250000000000003E-2</v>
      </c>
      <c r="AN9" s="35">
        <v>6.0200008135136235E-2</v>
      </c>
      <c r="AO9" s="35">
        <v>0.1</v>
      </c>
      <c r="AP9" s="35">
        <v>9.0602174405699246E-2</v>
      </c>
      <c r="AQ9" s="35">
        <v>7.4999999999999997E-2</v>
      </c>
      <c r="AR9" s="35">
        <v>0.2266100306229771</v>
      </c>
      <c r="AS9" s="35">
        <v>0.26874999999999999</v>
      </c>
      <c r="BE9" s="36"/>
      <c r="BM9" t="s">
        <v>18</v>
      </c>
      <c r="BN9" t="s">
        <v>16</v>
      </c>
      <c r="BO9" t="s">
        <v>22</v>
      </c>
      <c r="BP9">
        <v>1391</v>
      </c>
      <c r="BQ9">
        <v>8</v>
      </c>
    </row>
    <row r="10" spans="2:69">
      <c r="N10" s="5" t="s">
        <v>30</v>
      </c>
      <c r="O10">
        <v>29</v>
      </c>
      <c r="P10">
        <v>47</v>
      </c>
      <c r="Q10">
        <v>54</v>
      </c>
      <c r="R10">
        <v>30</v>
      </c>
      <c r="S10">
        <v>160</v>
      </c>
      <c r="X10" t="s">
        <v>21</v>
      </c>
      <c r="Y10" t="s">
        <v>65</v>
      </c>
      <c r="AA10">
        <v>3027</v>
      </c>
      <c r="AB10" s="15">
        <v>9.2975396996037712E-2</v>
      </c>
      <c r="AI10" s="21" t="s">
        <v>19</v>
      </c>
      <c r="AJ10" s="35">
        <v>0.11621042110951636</v>
      </c>
      <c r="AK10" s="35">
        <v>7.4999999999999997E-2</v>
      </c>
      <c r="AL10" s="35">
        <v>0.11102136635423869</v>
      </c>
      <c r="AM10" s="35">
        <v>8.1250000000000003E-2</v>
      </c>
      <c r="AN10" s="35">
        <v>2.1470948847425519E-2</v>
      </c>
      <c r="AO10" s="35">
        <v>1.8749999999999999E-2</v>
      </c>
      <c r="AP10" s="35">
        <v>2.6503111689609688E-2</v>
      </c>
      <c r="AQ10" s="35">
        <v>1.2500000000000001E-2</v>
      </c>
      <c r="AR10" s="35">
        <v>0.27520584800079029</v>
      </c>
      <c r="AS10" s="35">
        <v>0.1875</v>
      </c>
      <c r="BL10" t="s">
        <v>30</v>
      </c>
      <c r="BP10">
        <v>32557</v>
      </c>
      <c r="BQ10">
        <v>46</v>
      </c>
    </row>
    <row r="11" spans="2:69">
      <c r="N11" s="5" t="s">
        <v>49</v>
      </c>
      <c r="O11" s="16">
        <v>0.29447449925331071</v>
      </c>
      <c r="P11" s="16">
        <v>0.28733882261335442</v>
      </c>
      <c r="Q11" s="16">
        <v>0.25780827808219975</v>
      </c>
      <c r="R11" s="16">
        <v>0.16037840005113513</v>
      </c>
      <c r="X11" t="s">
        <v>21</v>
      </c>
      <c r="Y11" t="s">
        <v>18</v>
      </c>
      <c r="Z11" t="s">
        <v>22</v>
      </c>
      <c r="AA11">
        <v>1391</v>
      </c>
      <c r="AB11" s="15">
        <v>4.2725066805909637E-2</v>
      </c>
      <c r="AI11" s="21" t="s">
        <v>30</v>
      </c>
      <c r="AJ11" s="35">
        <v>0.29447449925331071</v>
      </c>
      <c r="AK11" s="35">
        <v>0.18124999999999999</v>
      </c>
      <c r="AL11" s="35">
        <v>0.28733882261335442</v>
      </c>
      <c r="AM11" s="35">
        <v>0.29375000000000001</v>
      </c>
      <c r="AN11" s="35">
        <v>0.25780827808219975</v>
      </c>
      <c r="AO11" s="35">
        <v>0.33750000000000002</v>
      </c>
      <c r="AP11" s="35">
        <v>0.16037840005113513</v>
      </c>
      <c r="AQ11" s="35">
        <v>0.1875</v>
      </c>
      <c r="AR11" s="35">
        <v>1</v>
      </c>
      <c r="AS11" s="35">
        <v>1</v>
      </c>
    </row>
    <row r="12" spans="2:69" ht="15" thickBot="1">
      <c r="X12" t="s">
        <v>21</v>
      </c>
      <c r="Y12" t="s">
        <v>66</v>
      </c>
      <c r="AA12">
        <v>1391</v>
      </c>
      <c r="AB12" s="15">
        <v>4.2725066805909637E-2</v>
      </c>
    </row>
    <row r="13" spans="2:69" ht="15" thickBot="1">
      <c r="B13" s="13">
        <v>32557</v>
      </c>
      <c r="D13" s="13">
        <v>7</v>
      </c>
      <c r="E13">
        <f>B13/D13</f>
        <v>4651</v>
      </c>
      <c r="X13" t="s">
        <v>52</v>
      </c>
      <c r="AA13">
        <v>4418</v>
      </c>
      <c r="AB13" s="15">
        <v>0.13570046380194736</v>
      </c>
    </row>
    <row r="14" spans="2:69" ht="15" thickBot="1">
      <c r="B14" s="14">
        <v>39033</v>
      </c>
      <c r="D14" s="14">
        <v>5</v>
      </c>
      <c r="X14" t="s">
        <v>30</v>
      </c>
      <c r="AA14">
        <v>32557</v>
      </c>
      <c r="AB14" s="15">
        <v>1</v>
      </c>
    </row>
    <row r="15" spans="2:69" ht="15" thickBot="1">
      <c r="B15" s="14">
        <v>14144</v>
      </c>
      <c r="D15" s="14">
        <v>3</v>
      </c>
    </row>
    <row r="16" spans="2:69" ht="15" thickBot="1">
      <c r="B16" s="14">
        <v>38998</v>
      </c>
      <c r="D16" s="14">
        <v>8</v>
      </c>
      <c r="AI16" s="4" t="s">
        <v>1</v>
      </c>
      <c r="AJ16" s="4" t="s">
        <v>2</v>
      </c>
      <c r="AK16" t="s">
        <v>31</v>
      </c>
      <c r="AL16" t="s">
        <v>42</v>
      </c>
    </row>
    <row r="17" spans="2:38" ht="15" thickBot="1">
      <c r="B17" s="14">
        <v>47361</v>
      </c>
      <c r="D17" s="14">
        <v>7</v>
      </c>
      <c r="N17" s="4" t="s">
        <v>43</v>
      </c>
      <c r="O17" s="4" t="s">
        <v>35</v>
      </c>
      <c r="AI17" s="11" t="s">
        <v>22</v>
      </c>
      <c r="AJ17" t="s">
        <v>20</v>
      </c>
      <c r="AK17" s="15">
        <v>8.500055202710162E-2</v>
      </c>
      <c r="AL17">
        <v>6</v>
      </c>
    </row>
    <row r="18" spans="2:38">
      <c r="N18" s="4" t="s">
        <v>29</v>
      </c>
      <c r="O18" t="s">
        <v>20</v>
      </c>
      <c r="P18" t="s">
        <v>27</v>
      </c>
      <c r="Q18" t="s">
        <v>23</v>
      </c>
      <c r="R18" t="s">
        <v>16</v>
      </c>
      <c r="S18" t="s">
        <v>30</v>
      </c>
      <c r="AI18" s="11"/>
      <c r="AJ18" t="s">
        <v>27</v>
      </c>
      <c r="AK18" s="15">
        <v>6.978203645703196E-2</v>
      </c>
      <c r="AL18">
        <v>15</v>
      </c>
    </row>
    <row r="19" spans="2:38">
      <c r="N19" s="5" t="s">
        <v>24</v>
      </c>
      <c r="Q19">
        <v>1</v>
      </c>
      <c r="S19">
        <v>1</v>
      </c>
      <c r="AI19" s="11"/>
      <c r="AJ19" t="s">
        <v>23</v>
      </c>
      <c r="AK19" s="15">
        <v>2.6317165718535908E-2</v>
      </c>
      <c r="AL19">
        <v>17</v>
      </c>
    </row>
    <row r="20" spans="2:38">
      <c r="N20" s="5" t="s">
        <v>26</v>
      </c>
      <c r="P20">
        <v>2</v>
      </c>
      <c r="S20">
        <v>2</v>
      </c>
      <c r="AI20" s="11"/>
      <c r="AJ20" t="s">
        <v>16</v>
      </c>
      <c r="AK20" s="15">
        <v>8.0828389301133684E-3</v>
      </c>
      <c r="AL20">
        <v>8</v>
      </c>
    </row>
    <row r="21" spans="2:38" ht="18" customHeight="1">
      <c r="N21" s="5" t="s">
        <v>18</v>
      </c>
      <c r="O21">
        <v>2</v>
      </c>
      <c r="Q21">
        <v>1</v>
      </c>
      <c r="R21">
        <v>1</v>
      </c>
      <c r="S21">
        <v>4</v>
      </c>
      <c r="AI21" t="s">
        <v>73</v>
      </c>
      <c r="AK21" s="15">
        <v>0.18918259313278285</v>
      </c>
      <c r="AL21">
        <v>46</v>
      </c>
    </row>
    <row r="22" spans="2:38">
      <c r="N22" s="5" t="s">
        <v>30</v>
      </c>
      <c r="O22">
        <v>2</v>
      </c>
      <c r="P22">
        <v>2</v>
      </c>
      <c r="Q22">
        <v>2</v>
      </c>
      <c r="R22">
        <v>1</v>
      </c>
      <c r="S22">
        <v>7</v>
      </c>
      <c r="AI22" t="s">
        <v>25</v>
      </c>
      <c r="AJ22" t="s">
        <v>20</v>
      </c>
      <c r="AK22" s="15">
        <v>4.7735817261596925E-2</v>
      </c>
      <c r="AL22">
        <v>2</v>
      </c>
    </row>
    <row r="23" spans="2:38">
      <c r="AJ23" t="s">
        <v>27</v>
      </c>
      <c r="AK23" s="15">
        <v>5.4575142510154391E-2</v>
      </c>
      <c r="AL23">
        <v>6</v>
      </c>
    </row>
    <row r="24" spans="2:38">
      <c r="AJ24" t="s">
        <v>23</v>
      </c>
      <c r="AK24" s="15">
        <v>8.93121742313749E-2</v>
      </c>
      <c r="AL24">
        <v>5</v>
      </c>
    </row>
    <row r="25" spans="2:38" ht="22.5" customHeight="1">
      <c r="AJ25" t="s">
        <v>16</v>
      </c>
      <c r="AK25" s="15">
        <v>3.5190275025712842E-2</v>
      </c>
      <c r="AL25">
        <v>8</v>
      </c>
    </row>
    <row r="26" spans="2:38">
      <c r="AI26" t="s">
        <v>36</v>
      </c>
      <c r="AK26" s="15">
        <v>0.22681340902883906</v>
      </c>
      <c r="AL26">
        <v>21</v>
      </c>
    </row>
    <row r="27" spans="2:38" ht="24.5" customHeight="1">
      <c r="AI27" t="s">
        <v>28</v>
      </c>
      <c r="AJ27" t="s">
        <v>20</v>
      </c>
      <c r="AK27" s="15">
        <v>2.1680138064883524E-2</v>
      </c>
      <c r="AL27">
        <v>7</v>
      </c>
    </row>
    <row r="28" spans="2:38">
      <c r="AJ28" t="s">
        <v>23</v>
      </c>
      <c r="AK28" s="15">
        <v>6.0507981149727184E-2</v>
      </c>
      <c r="AL28">
        <v>13</v>
      </c>
    </row>
    <row r="29" spans="2:38">
      <c r="AI29" t="s">
        <v>57</v>
      </c>
      <c r="AK29" s="15">
        <v>8.2188119214610708E-2</v>
      </c>
      <c r="AL29">
        <v>20</v>
      </c>
    </row>
    <row r="30" spans="2:38">
      <c r="AI30" t="s">
        <v>15</v>
      </c>
      <c r="AJ30" t="s">
        <v>20</v>
      </c>
      <c r="AK30" s="15">
        <v>2.3847570790212269E-2</v>
      </c>
      <c r="AL30">
        <v>2</v>
      </c>
    </row>
    <row r="31" spans="2:38">
      <c r="AJ31" t="s">
        <v>27</v>
      </c>
      <c r="AK31" s="15">
        <v>5.1960277291929362E-2</v>
      </c>
      <c r="AL31">
        <v>13</v>
      </c>
    </row>
    <row r="32" spans="2:38">
      <c r="AJ32" t="s">
        <v>23</v>
      </c>
      <c r="AK32" s="15">
        <v>6.0200008135136235E-2</v>
      </c>
      <c r="AL32">
        <v>16</v>
      </c>
    </row>
    <row r="33" spans="1:48">
      <c r="AJ33" t="s">
        <v>16</v>
      </c>
      <c r="AK33" s="15">
        <v>9.0602174405699246E-2</v>
      </c>
      <c r="AL33">
        <v>12</v>
      </c>
    </row>
    <row r="34" spans="1:48">
      <c r="AI34" t="s">
        <v>58</v>
      </c>
      <c r="AK34" s="15">
        <v>0.2266100306229771</v>
      </c>
      <c r="AL34">
        <v>43</v>
      </c>
    </row>
    <row r="35" spans="1:48">
      <c r="S35" t="s">
        <v>47</v>
      </c>
      <c r="T35" t="s">
        <v>48</v>
      </c>
      <c r="U35" t="s">
        <v>49</v>
      </c>
      <c r="V35" t="s">
        <v>50</v>
      </c>
      <c r="AI35" t="s">
        <v>19</v>
      </c>
      <c r="AJ35" t="s">
        <v>20</v>
      </c>
      <c r="AK35" s="15">
        <v>0.11621042110951636</v>
      </c>
      <c r="AL35">
        <v>12</v>
      </c>
    </row>
    <row r="36" spans="1:48">
      <c r="S36" t="s">
        <v>44</v>
      </c>
      <c r="T36">
        <v>12</v>
      </c>
      <c r="U36">
        <v>74810</v>
      </c>
      <c r="V36">
        <f>U36/T36</f>
        <v>6234.166666666667</v>
      </c>
      <c r="AJ36" t="s">
        <v>27</v>
      </c>
      <c r="AK36" s="15">
        <v>0.11102136635423869</v>
      </c>
      <c r="AL36">
        <v>13</v>
      </c>
    </row>
    <row r="37" spans="1:48">
      <c r="S37" t="s">
        <v>45</v>
      </c>
      <c r="T37">
        <v>7</v>
      </c>
      <c r="U37">
        <v>40106</v>
      </c>
      <c r="V37">
        <f>U37/T37</f>
        <v>5729.4285714285716</v>
      </c>
      <c r="AJ37" t="s">
        <v>23</v>
      </c>
      <c r="AK37" s="15">
        <v>2.1470948847425519E-2</v>
      </c>
      <c r="AL37">
        <v>3</v>
      </c>
    </row>
    <row r="38" spans="1:48">
      <c r="A38" s="4" t="s">
        <v>31</v>
      </c>
      <c r="S38" t="s">
        <v>46</v>
      </c>
      <c r="T38">
        <v>11</v>
      </c>
      <c r="U38">
        <v>57177</v>
      </c>
      <c r="V38">
        <f>U38/T38</f>
        <v>5197.909090909091</v>
      </c>
      <c r="AJ38" t="s">
        <v>16</v>
      </c>
      <c r="AK38" s="15">
        <v>2.6503111689609688E-2</v>
      </c>
      <c r="AL38">
        <v>2</v>
      </c>
    </row>
    <row r="39" spans="1:48">
      <c r="B39" t="s">
        <v>20</v>
      </c>
      <c r="C39" t="s">
        <v>27</v>
      </c>
      <c r="D39" t="s">
        <v>23</v>
      </c>
      <c r="E39" t="s">
        <v>16</v>
      </c>
      <c r="F39" t="s">
        <v>30</v>
      </c>
      <c r="I39" t="s">
        <v>61</v>
      </c>
      <c r="J39" t="s">
        <v>60</v>
      </c>
      <c r="AI39" t="s">
        <v>59</v>
      </c>
      <c r="AK39" s="15">
        <v>0.27520584800079029</v>
      </c>
      <c r="AL39">
        <v>30</v>
      </c>
    </row>
    <row r="40" spans="1:48">
      <c r="A40" s="5" t="s">
        <v>19</v>
      </c>
      <c r="B40">
        <v>19999</v>
      </c>
      <c r="C40">
        <v>19106</v>
      </c>
      <c r="D40">
        <v>3695</v>
      </c>
      <c r="E40">
        <v>4561</v>
      </c>
      <c r="F40">
        <v>47361</v>
      </c>
      <c r="I40">
        <f>F40/$F$45 *100</f>
        <v>27.520584800079028</v>
      </c>
      <c r="J40" s="15">
        <v>0.1875</v>
      </c>
      <c r="AI40" t="s">
        <v>30</v>
      </c>
      <c r="AK40" s="15">
        <v>1</v>
      </c>
      <c r="AL40">
        <v>160</v>
      </c>
    </row>
    <row r="41" spans="1:48" ht="33.5" customHeight="1">
      <c r="A41" s="5" t="s">
        <v>25</v>
      </c>
      <c r="B41">
        <v>8215</v>
      </c>
      <c r="C41">
        <v>9392</v>
      </c>
      <c r="D41">
        <v>15370</v>
      </c>
      <c r="E41">
        <v>6056</v>
      </c>
      <c r="F41">
        <v>39033</v>
      </c>
      <c r="I41">
        <f>F41/$F$45 *100</f>
        <v>22.681340902883907</v>
      </c>
      <c r="J41" s="15">
        <v>0.1313</v>
      </c>
      <c r="X41" s="4" t="s">
        <v>6</v>
      </c>
      <c r="Y41" s="4" t="s">
        <v>1</v>
      </c>
      <c r="Z41" s="4" t="s">
        <v>5</v>
      </c>
      <c r="AA41" s="4" t="s">
        <v>2</v>
      </c>
      <c r="AB41" t="s">
        <v>40</v>
      </c>
      <c r="AC41" t="s">
        <v>71</v>
      </c>
      <c r="AD41" t="s">
        <v>70</v>
      </c>
    </row>
    <row r="42" spans="1:48" ht="35.5" customHeight="1">
      <c r="A42" s="5" t="s">
        <v>15</v>
      </c>
      <c r="B42">
        <v>4104</v>
      </c>
      <c r="C42">
        <v>8942</v>
      </c>
      <c r="D42">
        <v>10360</v>
      </c>
      <c r="E42">
        <v>15592</v>
      </c>
      <c r="F42">
        <v>38998</v>
      </c>
      <c r="I42">
        <f>F42/$F$45 *100</f>
        <v>22.661003062297709</v>
      </c>
      <c r="J42" s="15">
        <v>0.26879999999999998</v>
      </c>
      <c r="X42" t="s">
        <v>24</v>
      </c>
      <c r="Y42" t="s">
        <v>22</v>
      </c>
      <c r="Z42" t="s">
        <v>21</v>
      </c>
      <c r="AA42" t="s">
        <v>23</v>
      </c>
      <c r="AB42">
        <v>8</v>
      </c>
      <c r="AC42" s="15">
        <v>1.7589326701260365E-2</v>
      </c>
      <c r="AD42">
        <v>378.375</v>
      </c>
      <c r="AQ42" s="4" t="s">
        <v>5</v>
      </c>
      <c r="AR42" s="4" t="s">
        <v>2</v>
      </c>
      <c r="AS42" s="4" t="s">
        <v>1</v>
      </c>
      <c r="AT42" s="4" t="s">
        <v>6</v>
      </c>
      <c r="AU42" t="s">
        <v>32</v>
      </c>
      <c r="AV42" t="s">
        <v>31</v>
      </c>
    </row>
    <row r="43" spans="1:48">
      <c r="A43" s="5" t="s">
        <v>22</v>
      </c>
      <c r="B43">
        <v>14628</v>
      </c>
      <c r="C43">
        <v>12009</v>
      </c>
      <c r="D43">
        <v>4529</v>
      </c>
      <c r="E43">
        <v>1391</v>
      </c>
      <c r="F43">
        <v>32557</v>
      </c>
      <c r="I43">
        <f>F43/$F$45 *100</f>
        <v>18.918259313278284</v>
      </c>
      <c r="J43" s="15">
        <v>0.28749999999999998</v>
      </c>
      <c r="Z43" t="s">
        <v>52</v>
      </c>
      <c r="AB43">
        <v>8</v>
      </c>
      <c r="AC43" s="15">
        <v>1.7589326701260365E-2</v>
      </c>
      <c r="AD43">
        <v>378.375</v>
      </c>
      <c r="AQ43" t="s">
        <v>17</v>
      </c>
      <c r="AR43" t="s">
        <v>20</v>
      </c>
      <c r="AS43" t="s">
        <v>22</v>
      </c>
      <c r="AU43">
        <v>6</v>
      </c>
      <c r="AV43">
        <v>14628</v>
      </c>
    </row>
    <row r="44" spans="1:48" ht="37.5" customHeight="1">
      <c r="A44" s="5" t="s">
        <v>28</v>
      </c>
      <c r="B44">
        <v>3731</v>
      </c>
      <c r="D44">
        <v>10413</v>
      </c>
      <c r="F44">
        <v>14144</v>
      </c>
      <c r="I44">
        <f>F44/$F$45 *100</f>
        <v>8.2188119214610715</v>
      </c>
      <c r="J44" s="15">
        <v>0.125</v>
      </c>
      <c r="Y44" t="s">
        <v>73</v>
      </c>
      <c r="AB44">
        <v>8</v>
      </c>
      <c r="AC44" s="15">
        <v>1.7589326701260365E-2</v>
      </c>
      <c r="AD44">
        <v>378.375</v>
      </c>
      <c r="AI44" s="12"/>
      <c r="AJ44" s="12"/>
      <c r="AK44" s="12"/>
      <c r="AL44" s="12"/>
      <c r="AM44" s="12"/>
      <c r="AN44" s="12"/>
    </row>
    <row r="45" spans="1:48">
      <c r="A45" s="5" t="s">
        <v>30</v>
      </c>
      <c r="B45">
        <v>50677</v>
      </c>
      <c r="C45">
        <v>49449</v>
      </c>
      <c r="D45">
        <v>44367</v>
      </c>
      <c r="E45">
        <v>27600</v>
      </c>
      <c r="F45">
        <v>172093</v>
      </c>
      <c r="J45">
        <f>F45/$F$45 *100</f>
        <v>100</v>
      </c>
      <c r="X45" t="s">
        <v>65</v>
      </c>
      <c r="AB45">
        <v>8</v>
      </c>
      <c r="AC45" s="15">
        <v>1.7589326701260365E-2</v>
      </c>
      <c r="AD45">
        <v>378.375</v>
      </c>
      <c r="AQ45" t="s">
        <v>17</v>
      </c>
      <c r="AR45" t="s">
        <v>53</v>
      </c>
      <c r="AU45">
        <v>6</v>
      </c>
      <c r="AV45">
        <v>14628</v>
      </c>
    </row>
    <row r="46" spans="1:48">
      <c r="X46" t="s">
        <v>26</v>
      </c>
      <c r="Y46" t="s">
        <v>22</v>
      </c>
      <c r="Z46" t="s">
        <v>17</v>
      </c>
      <c r="AA46" t="s">
        <v>27</v>
      </c>
      <c r="AB46">
        <v>15</v>
      </c>
      <c r="AC46" s="15">
        <v>6.978203645703196E-2</v>
      </c>
      <c r="AD46">
        <v>800.6</v>
      </c>
    </row>
    <row r="47" spans="1:48">
      <c r="H47" s="4" t="s">
        <v>31</v>
      </c>
      <c r="Z47" t="s">
        <v>51</v>
      </c>
      <c r="AB47">
        <v>15</v>
      </c>
      <c r="AC47" s="15">
        <v>6.978203645703196E-2</v>
      </c>
      <c r="AD47">
        <v>800.6</v>
      </c>
      <c r="AQ47" t="s">
        <v>17</v>
      </c>
      <c r="AR47" t="s">
        <v>27</v>
      </c>
      <c r="AS47" t="s">
        <v>22</v>
      </c>
      <c r="AU47">
        <v>15</v>
      </c>
      <c r="AV47">
        <v>12009</v>
      </c>
    </row>
    <row r="48" spans="1:48">
      <c r="A48" s="5" t="s">
        <v>22</v>
      </c>
      <c r="B48" s="15">
        <v>3.7499999999999999E-2</v>
      </c>
      <c r="C48" s="15">
        <v>9.375E-2</v>
      </c>
      <c r="D48" s="15">
        <v>0.10625</v>
      </c>
      <c r="E48" s="15">
        <v>0.05</v>
      </c>
      <c r="F48" s="15">
        <v>0.28749999999999998</v>
      </c>
      <c r="I48" t="s">
        <v>20</v>
      </c>
      <c r="J48" t="s">
        <v>27</v>
      </c>
      <c r="K48" t="s">
        <v>23</v>
      </c>
      <c r="L48" t="s">
        <v>16</v>
      </c>
      <c r="M48" t="s">
        <v>30</v>
      </c>
      <c r="Y48" t="s">
        <v>73</v>
      </c>
      <c r="AB48">
        <v>15</v>
      </c>
      <c r="AC48" s="15">
        <v>6.978203645703196E-2</v>
      </c>
      <c r="AD48">
        <v>800.6</v>
      </c>
      <c r="AI48" s="12"/>
      <c r="AJ48" s="12"/>
      <c r="AK48" s="12"/>
      <c r="AL48" s="12"/>
      <c r="AM48" s="12"/>
      <c r="AN48" s="12"/>
    </row>
    <row r="49" spans="1:48">
      <c r="A49" s="5" t="s">
        <v>25</v>
      </c>
      <c r="B49" s="15">
        <v>1.2500000000000001E-2</v>
      </c>
      <c r="C49" s="15">
        <v>3.7499999999999999E-2</v>
      </c>
      <c r="D49" s="15">
        <v>3.125E-2</v>
      </c>
      <c r="E49" s="15">
        <v>0.05</v>
      </c>
      <c r="F49" s="15">
        <v>0.13125000000000001</v>
      </c>
      <c r="H49" s="5" t="s">
        <v>22</v>
      </c>
      <c r="I49" s="15">
        <v>0.44930429707896918</v>
      </c>
      <c r="J49" s="15">
        <v>0.36886076726971156</v>
      </c>
      <c r="K49" s="15">
        <v>0.1391098688454096</v>
      </c>
      <c r="L49" s="15">
        <v>4.2725066805909637E-2</v>
      </c>
      <c r="M49" s="15">
        <v>1</v>
      </c>
      <c r="X49" t="s">
        <v>67</v>
      </c>
      <c r="AB49">
        <v>15</v>
      </c>
      <c r="AC49" s="15">
        <v>6.978203645703196E-2</v>
      </c>
      <c r="AD49">
        <v>800.6</v>
      </c>
      <c r="AQ49" t="s">
        <v>17</v>
      </c>
      <c r="AR49" t="s">
        <v>54</v>
      </c>
      <c r="AU49">
        <v>15</v>
      </c>
      <c r="AV49">
        <v>12009</v>
      </c>
    </row>
    <row r="50" spans="1:48">
      <c r="A50" s="5" t="s">
        <v>28</v>
      </c>
      <c r="B50" s="15">
        <v>4.3749999999999997E-2</v>
      </c>
      <c r="C50" s="15">
        <v>0</v>
      </c>
      <c r="D50" s="15">
        <v>8.1250000000000003E-2</v>
      </c>
      <c r="E50" s="15">
        <v>0</v>
      </c>
      <c r="F50" s="15">
        <v>0.125</v>
      </c>
      <c r="H50" s="5" t="s">
        <v>30</v>
      </c>
      <c r="I50" s="15">
        <v>0.44930429707896918</v>
      </c>
      <c r="J50" s="15">
        <v>0.36886076726971156</v>
      </c>
      <c r="K50" s="15">
        <v>0.1391098688454096</v>
      </c>
      <c r="L50" s="15">
        <v>4.2725066805909637E-2</v>
      </c>
      <c r="M50" s="15">
        <v>1</v>
      </c>
      <c r="X50" t="s">
        <v>18</v>
      </c>
      <c r="Y50" t="s">
        <v>22</v>
      </c>
      <c r="Z50" t="s">
        <v>17</v>
      </c>
      <c r="AA50" t="s">
        <v>20</v>
      </c>
      <c r="AB50">
        <v>6</v>
      </c>
      <c r="AC50" s="15">
        <v>8.500055202710162E-2</v>
      </c>
      <c r="AD50">
        <v>2438</v>
      </c>
    </row>
    <row r="51" spans="1:48">
      <c r="A51" s="5" t="s">
        <v>15</v>
      </c>
      <c r="B51" s="15">
        <v>1.2500000000000001E-2</v>
      </c>
      <c r="C51" s="15">
        <v>8.1250000000000003E-2</v>
      </c>
      <c r="D51" s="15">
        <v>0.1</v>
      </c>
      <c r="E51" s="15">
        <v>7.4999999999999997E-2</v>
      </c>
      <c r="F51" s="15">
        <v>0.26874999999999999</v>
      </c>
      <c r="AA51" t="s">
        <v>23</v>
      </c>
      <c r="AB51">
        <v>9</v>
      </c>
      <c r="AC51" s="15">
        <v>8.7278390172755432E-3</v>
      </c>
      <c r="AD51">
        <v>166.88888888888889</v>
      </c>
      <c r="AQ51" t="s">
        <v>17</v>
      </c>
      <c r="AR51" t="s">
        <v>23</v>
      </c>
      <c r="AS51" t="s">
        <v>22</v>
      </c>
      <c r="AU51">
        <v>9</v>
      </c>
      <c r="AV51">
        <v>1502</v>
      </c>
    </row>
    <row r="52" spans="1:48">
      <c r="A52" s="5" t="s">
        <v>19</v>
      </c>
      <c r="B52" s="15">
        <v>7.4999999999999997E-2</v>
      </c>
      <c r="C52" s="15">
        <v>8.1250000000000003E-2</v>
      </c>
      <c r="D52" s="15">
        <v>1.8749999999999999E-2</v>
      </c>
      <c r="E52" s="15">
        <v>1.2500000000000001E-2</v>
      </c>
      <c r="F52" s="15">
        <v>0.1875</v>
      </c>
      <c r="Z52" t="s">
        <v>51</v>
      </c>
      <c r="AB52">
        <v>15</v>
      </c>
      <c r="AC52" s="15">
        <v>9.3728391044377163E-2</v>
      </c>
      <c r="AD52">
        <v>1075.3333333333333</v>
      </c>
      <c r="AI52" s="12"/>
      <c r="AJ52" s="12"/>
      <c r="AK52" s="12"/>
      <c r="AL52" s="12"/>
      <c r="AM52" s="12"/>
      <c r="AN52" s="12"/>
    </row>
    <row r="53" spans="1:48">
      <c r="Z53" t="s">
        <v>21</v>
      </c>
      <c r="AA53" t="s">
        <v>16</v>
      </c>
      <c r="AB53">
        <v>8</v>
      </c>
      <c r="AC53" s="15">
        <v>8.0828389301133684E-3</v>
      </c>
      <c r="AD53">
        <v>173.875</v>
      </c>
      <c r="AQ53" t="s">
        <v>17</v>
      </c>
      <c r="AR53" t="s">
        <v>55</v>
      </c>
      <c r="AU53">
        <v>9</v>
      </c>
      <c r="AV53">
        <v>1502</v>
      </c>
    </row>
    <row r="54" spans="1:48">
      <c r="Z54" t="s">
        <v>52</v>
      </c>
      <c r="AB54">
        <v>8</v>
      </c>
      <c r="AC54" s="15">
        <v>8.0828389301133684E-3</v>
      </c>
      <c r="AD54">
        <v>173.875</v>
      </c>
      <c r="AI54" s="10"/>
      <c r="AJ54" s="10"/>
      <c r="AK54" s="10"/>
      <c r="AL54" s="10"/>
      <c r="AM54" s="10"/>
      <c r="AN54" s="10"/>
    </row>
    <row r="55" spans="1:48">
      <c r="Y55" t="s">
        <v>73</v>
      </c>
      <c r="AB55">
        <v>23</v>
      </c>
      <c r="AC55" s="15">
        <v>0.10181122997449053</v>
      </c>
      <c r="AD55">
        <v>761.78260869565213</v>
      </c>
      <c r="AH55" s="10"/>
      <c r="AQ55" t="s">
        <v>51</v>
      </c>
      <c r="AU55">
        <v>30</v>
      </c>
      <c r="AV55">
        <v>28139</v>
      </c>
    </row>
    <row r="56" spans="1:48">
      <c r="X56" t="s">
        <v>66</v>
      </c>
      <c r="AB56">
        <v>23</v>
      </c>
      <c r="AC56" s="15">
        <v>0.10181122997449053</v>
      </c>
      <c r="AD56">
        <v>761.78260869565213</v>
      </c>
    </row>
    <row r="57" spans="1:48">
      <c r="X57" t="s">
        <v>30</v>
      </c>
      <c r="AB57">
        <v>46</v>
      </c>
      <c r="AC57" s="15">
        <v>0.18918259313278285</v>
      </c>
      <c r="AD57">
        <v>707.76086956521738</v>
      </c>
      <c r="AQ57" t="s">
        <v>21</v>
      </c>
      <c r="AR57" t="s">
        <v>23</v>
      </c>
      <c r="AS57" t="s">
        <v>22</v>
      </c>
      <c r="AU57">
        <v>8</v>
      </c>
      <c r="AV57">
        <v>3027</v>
      </c>
    </row>
    <row r="58" spans="1:48">
      <c r="O58" t="s">
        <v>31</v>
      </c>
      <c r="AI58" s="12"/>
      <c r="AJ58" s="12"/>
      <c r="AK58" s="12"/>
      <c r="AL58" s="12"/>
      <c r="AM58" s="12"/>
      <c r="AN58" s="12"/>
    </row>
    <row r="59" spans="1:48">
      <c r="N59" s="5" t="s">
        <v>24</v>
      </c>
      <c r="O59">
        <v>3027</v>
      </c>
      <c r="AQ59" t="s">
        <v>21</v>
      </c>
      <c r="AR59" t="s">
        <v>55</v>
      </c>
      <c r="AU59">
        <v>8</v>
      </c>
      <c r="AV59">
        <v>3027</v>
      </c>
    </row>
    <row r="60" spans="1:48">
      <c r="N60" s="11" t="s">
        <v>22</v>
      </c>
      <c r="O60">
        <v>3027</v>
      </c>
    </row>
    <row r="61" spans="1:48">
      <c r="N61" s="5" t="s">
        <v>26</v>
      </c>
      <c r="O61">
        <v>12009</v>
      </c>
      <c r="AQ61" t="s">
        <v>21</v>
      </c>
      <c r="AR61" t="s">
        <v>16</v>
      </c>
      <c r="AS61" t="s">
        <v>22</v>
      </c>
      <c r="AU61">
        <v>8</v>
      </c>
      <c r="AV61">
        <v>1391</v>
      </c>
    </row>
    <row r="62" spans="1:48">
      <c r="N62" s="11" t="s">
        <v>22</v>
      </c>
      <c r="O62">
        <v>12009</v>
      </c>
      <c r="AI62" s="12"/>
      <c r="AJ62" s="12"/>
      <c r="AK62" s="12"/>
      <c r="AL62" s="12"/>
      <c r="AM62" s="12"/>
      <c r="AN62" s="12"/>
    </row>
    <row r="63" spans="1:48">
      <c r="N63" s="5" t="s">
        <v>18</v>
      </c>
      <c r="O63">
        <v>17521</v>
      </c>
      <c r="AQ63" t="s">
        <v>21</v>
      </c>
      <c r="AR63" t="s">
        <v>56</v>
      </c>
      <c r="AU63">
        <v>8</v>
      </c>
      <c r="AV63">
        <v>1391</v>
      </c>
    </row>
    <row r="64" spans="1:48">
      <c r="N64" s="11" t="s">
        <v>22</v>
      </c>
      <c r="O64">
        <v>17521</v>
      </c>
      <c r="AI64" s="10"/>
      <c r="AJ64" s="10"/>
      <c r="AK64" s="10"/>
      <c r="AL64" s="10"/>
      <c r="AM64" s="10"/>
      <c r="AN64" s="10"/>
    </row>
    <row r="65" spans="2:48">
      <c r="N65" s="5" t="s">
        <v>30</v>
      </c>
      <c r="O65">
        <v>32557</v>
      </c>
      <c r="AH65" s="10"/>
      <c r="AQ65" t="s">
        <v>52</v>
      </c>
      <c r="AU65">
        <v>16</v>
      </c>
      <c r="AV65">
        <v>4418</v>
      </c>
    </row>
    <row r="77" spans="2:48">
      <c r="C77" s="4" t="s">
        <v>35</v>
      </c>
    </row>
    <row r="78" spans="2:48">
      <c r="C78" t="s">
        <v>20</v>
      </c>
      <c r="E78" t="s">
        <v>27</v>
      </c>
      <c r="G78" t="s">
        <v>23</v>
      </c>
      <c r="I78" t="s">
        <v>16</v>
      </c>
      <c r="K78" t="s">
        <v>62</v>
      </c>
      <c r="L78" t="s">
        <v>63</v>
      </c>
    </row>
    <row r="79" spans="2:48">
      <c r="B79" s="4" t="s">
        <v>29</v>
      </c>
      <c r="C79" t="s">
        <v>43</v>
      </c>
      <c r="D79" t="s">
        <v>31</v>
      </c>
      <c r="E79" t="s">
        <v>43</v>
      </c>
      <c r="F79" t="s">
        <v>31</v>
      </c>
      <c r="G79" t="s">
        <v>43</v>
      </c>
      <c r="H79" t="s">
        <v>31</v>
      </c>
      <c r="I79" t="s">
        <v>43</v>
      </c>
      <c r="J79" t="s">
        <v>31</v>
      </c>
    </row>
    <row r="80" spans="2:48">
      <c r="B80" s="5" t="s">
        <v>24</v>
      </c>
      <c r="D80" s="15">
        <v>0</v>
      </c>
      <c r="F80" s="15">
        <v>0</v>
      </c>
      <c r="G80">
        <v>1</v>
      </c>
      <c r="H80" s="15">
        <v>9.2975396996037712E-2</v>
      </c>
      <c r="J80" s="15">
        <v>0</v>
      </c>
      <c r="K80">
        <v>1</v>
      </c>
      <c r="L80" s="15">
        <v>9.2975396996037712E-2</v>
      </c>
    </row>
    <row r="81" spans="2:12">
      <c r="B81" s="5" t="s">
        <v>26</v>
      </c>
      <c r="D81" s="15">
        <v>0</v>
      </c>
      <c r="E81">
        <v>2</v>
      </c>
      <c r="F81" s="15">
        <v>0.36886076726971156</v>
      </c>
      <c r="H81" s="15">
        <v>0</v>
      </c>
      <c r="J81" s="15">
        <v>0</v>
      </c>
      <c r="K81">
        <v>2</v>
      </c>
      <c r="L81" s="15">
        <v>0.36886076726971156</v>
      </c>
    </row>
    <row r="82" spans="2:12">
      <c r="B82" s="5" t="s">
        <v>18</v>
      </c>
      <c r="C82">
        <v>2</v>
      </c>
      <c r="D82" s="15">
        <v>0.44930429707896918</v>
      </c>
      <c r="F82" s="15">
        <v>0</v>
      </c>
      <c r="G82">
        <v>1</v>
      </c>
      <c r="H82" s="15">
        <v>4.6134471849371868E-2</v>
      </c>
      <c r="I82">
        <v>1</v>
      </c>
      <c r="J82" s="15">
        <v>4.2725066805909637E-2</v>
      </c>
      <c r="K82">
        <v>4</v>
      </c>
      <c r="L82" s="15">
        <v>0.53816383573425075</v>
      </c>
    </row>
    <row r="83" spans="2:12">
      <c r="B83" s="5" t="s">
        <v>30</v>
      </c>
      <c r="C83">
        <v>2</v>
      </c>
      <c r="D83" s="15">
        <v>0.44930429707896918</v>
      </c>
      <c r="E83">
        <v>2</v>
      </c>
      <c r="F83" s="15">
        <v>0.36886076726971156</v>
      </c>
      <c r="G83">
        <v>2</v>
      </c>
      <c r="H83" s="15">
        <v>0.1391098688454096</v>
      </c>
      <c r="I83">
        <v>1</v>
      </c>
      <c r="J83" s="15">
        <v>4.2725066805909637E-2</v>
      </c>
      <c r="K83">
        <v>7</v>
      </c>
      <c r="L83" s="15">
        <v>1</v>
      </c>
    </row>
    <row r="94" spans="2:12">
      <c r="C94" t="s">
        <v>31</v>
      </c>
      <c r="D94" t="s">
        <v>64</v>
      </c>
    </row>
    <row r="95" spans="2:12">
      <c r="C95">
        <v>32557</v>
      </c>
      <c r="D95" s="15">
        <v>1</v>
      </c>
    </row>
    <row r="101" spans="3:5">
      <c r="C101" s="4" t="s">
        <v>68</v>
      </c>
      <c r="D101" s="4" t="s">
        <v>35</v>
      </c>
    </row>
    <row r="102" spans="3:5">
      <c r="C102" s="4" t="s">
        <v>69</v>
      </c>
      <c r="D102" t="s">
        <v>22</v>
      </c>
      <c r="E102" t="s">
        <v>30</v>
      </c>
    </row>
    <row r="103" spans="3:5">
      <c r="C103" s="5" t="s">
        <v>16</v>
      </c>
      <c r="D103">
        <v>8</v>
      </c>
      <c r="E103">
        <v>8</v>
      </c>
    </row>
    <row r="104" spans="3:5">
      <c r="C104" s="5" t="s">
        <v>23</v>
      </c>
      <c r="D104">
        <v>17</v>
      </c>
      <c r="E104">
        <v>17</v>
      </c>
    </row>
    <row r="105" spans="3:5">
      <c r="C105" s="5" t="s">
        <v>27</v>
      </c>
      <c r="D105">
        <v>15</v>
      </c>
      <c r="E105">
        <v>15</v>
      </c>
    </row>
    <row r="106" spans="3:5">
      <c r="C106" s="5" t="s">
        <v>20</v>
      </c>
      <c r="D106">
        <v>6</v>
      </c>
      <c r="E106">
        <v>6</v>
      </c>
    </row>
    <row r="107" spans="3:5">
      <c r="C107" s="5" t="s">
        <v>30</v>
      </c>
      <c r="D107">
        <v>46</v>
      </c>
      <c r="E107">
        <v>46</v>
      </c>
    </row>
    <row r="112" spans="3:5" ht="16">
      <c r="C112" s="19" t="s">
        <v>74</v>
      </c>
    </row>
    <row r="113" spans="2:13" ht="16">
      <c r="C113" s="19" t="s">
        <v>75</v>
      </c>
      <c r="G113" s="19" t="s">
        <v>75</v>
      </c>
      <c r="H113" s="21"/>
    </row>
    <row r="114" spans="2:13" ht="16">
      <c r="C114" s="19" t="s">
        <v>76</v>
      </c>
      <c r="G114" s="19" t="s">
        <v>76</v>
      </c>
      <c r="H114" s="21"/>
    </row>
    <row r="115" spans="2:13" ht="16">
      <c r="C115" s="19" t="s">
        <v>77</v>
      </c>
      <c r="G115" s="19" t="s">
        <v>77</v>
      </c>
      <c r="H115" s="21"/>
    </row>
    <row r="116" spans="2:13" ht="16">
      <c r="C116" s="20" t="s">
        <v>78</v>
      </c>
      <c r="G116" s="20" t="s">
        <v>78</v>
      </c>
      <c r="H116" s="21"/>
    </row>
    <row r="120" spans="2:13" ht="15" thickBot="1"/>
    <row r="121" spans="2:13" ht="15" thickBot="1">
      <c r="C121" t="s">
        <v>49</v>
      </c>
      <c r="D121" t="s">
        <v>79</v>
      </c>
      <c r="K121" s="13" t="s">
        <v>47</v>
      </c>
      <c r="L121" s="22" t="s">
        <v>48</v>
      </c>
      <c r="M121" s="22" t="s">
        <v>49</v>
      </c>
    </row>
    <row r="122" spans="2:13" ht="15" thickBot="1">
      <c r="B122" t="s">
        <v>80</v>
      </c>
      <c r="C122">
        <v>29.45</v>
      </c>
      <c r="D122">
        <v>18.13</v>
      </c>
      <c r="K122" s="14" t="s">
        <v>44</v>
      </c>
      <c r="L122" s="23">
        <v>12</v>
      </c>
      <c r="M122" s="23">
        <v>74810</v>
      </c>
    </row>
    <row r="123" spans="2:13" ht="15" thickBot="1">
      <c r="B123" t="s">
        <v>81</v>
      </c>
      <c r="C123">
        <v>28.73</v>
      </c>
      <c r="D123">
        <v>29.38</v>
      </c>
      <c r="K123" s="14" t="s">
        <v>45</v>
      </c>
      <c r="L123" s="23">
        <v>7</v>
      </c>
      <c r="M123" s="23">
        <v>40106</v>
      </c>
    </row>
    <row r="124" spans="2:13" ht="15" thickBot="1">
      <c r="B124" t="s">
        <v>82</v>
      </c>
      <c r="C124">
        <v>25.78</v>
      </c>
      <c r="D124">
        <v>33.75</v>
      </c>
      <c r="K124" s="14" t="s">
        <v>46</v>
      </c>
      <c r="L124" s="23">
        <v>11</v>
      </c>
      <c r="M124" s="23">
        <v>57177</v>
      </c>
    </row>
    <row r="125" spans="2:13">
      <c r="B125" t="s">
        <v>83</v>
      </c>
      <c r="C125">
        <v>16.04</v>
      </c>
      <c r="D125">
        <v>18.75</v>
      </c>
    </row>
    <row r="141" spans="2:10" ht="15" thickBot="1">
      <c r="B141" s="24" t="s">
        <v>29</v>
      </c>
      <c r="C141" s="24" t="s">
        <v>43</v>
      </c>
      <c r="D141" s="24" t="s">
        <v>4</v>
      </c>
      <c r="E141" s="24" t="s">
        <v>64</v>
      </c>
      <c r="G141" s="24" t="s">
        <v>29</v>
      </c>
      <c r="H141" s="24" t="s">
        <v>43</v>
      </c>
      <c r="I141" s="24" t="s">
        <v>4</v>
      </c>
      <c r="J141" s="24" t="s">
        <v>64</v>
      </c>
    </row>
    <row r="142" spans="2:10" ht="15" thickBot="1">
      <c r="B142" s="25" t="s">
        <v>24</v>
      </c>
      <c r="C142" s="26"/>
      <c r="D142" s="27"/>
      <c r="E142" s="26"/>
      <c r="G142" s="25" t="s">
        <v>24</v>
      </c>
      <c r="H142" s="26"/>
      <c r="I142" s="27"/>
      <c r="J142" s="26"/>
    </row>
    <row r="143" spans="2:10">
      <c r="B143" s="28" t="s">
        <v>19</v>
      </c>
      <c r="C143" s="29">
        <v>4</v>
      </c>
      <c r="D143" s="30">
        <v>0.18970000000000001</v>
      </c>
      <c r="E143" s="29">
        <v>32642</v>
      </c>
      <c r="G143" s="28" t="s">
        <v>19</v>
      </c>
      <c r="H143" s="29">
        <v>4</v>
      </c>
      <c r="I143" s="30">
        <v>0.18970000000000001</v>
      </c>
      <c r="J143" s="29">
        <v>32642</v>
      </c>
    </row>
    <row r="144" spans="2:10">
      <c r="B144" s="28" t="s">
        <v>25</v>
      </c>
      <c r="C144" s="29">
        <v>4</v>
      </c>
      <c r="D144" s="30">
        <v>0.17219999999999999</v>
      </c>
      <c r="E144" s="29">
        <v>29641</v>
      </c>
      <c r="G144" s="28" t="s">
        <v>25</v>
      </c>
      <c r="H144" s="29">
        <v>4</v>
      </c>
      <c r="I144" s="30">
        <v>0.17219999999999999</v>
      </c>
      <c r="J144" s="29">
        <v>29641</v>
      </c>
    </row>
    <row r="145" spans="2:10">
      <c r="B145" s="28" t="s">
        <v>15</v>
      </c>
      <c r="C145" s="29">
        <v>3</v>
      </c>
      <c r="D145" s="30">
        <v>5.5199999999999999E-2</v>
      </c>
      <c r="E145" s="29">
        <v>9500</v>
      </c>
      <c r="G145" s="28" t="s">
        <v>15</v>
      </c>
      <c r="H145" s="29">
        <v>3</v>
      </c>
      <c r="I145" s="30">
        <v>5.5199999999999999E-2</v>
      </c>
      <c r="J145" s="29">
        <v>9500</v>
      </c>
    </row>
    <row r="146" spans="2:10">
      <c r="B146" s="28" t="s">
        <v>22</v>
      </c>
      <c r="C146" s="29">
        <v>1</v>
      </c>
      <c r="D146" s="30">
        <v>1.7600000000000001E-2</v>
      </c>
      <c r="E146" s="29">
        <v>3027</v>
      </c>
      <c r="G146" s="28" t="s">
        <v>22</v>
      </c>
      <c r="H146" s="29">
        <v>1</v>
      </c>
      <c r="I146" s="30">
        <v>1.7600000000000001E-2</v>
      </c>
      <c r="J146" s="29">
        <v>3027</v>
      </c>
    </row>
    <row r="147" spans="2:10" ht="15" thickBot="1">
      <c r="B147" s="25" t="s">
        <v>26</v>
      </c>
      <c r="C147" s="26"/>
      <c r="D147" s="27"/>
      <c r="E147" s="26"/>
    </row>
    <row r="148" spans="2:10">
      <c r="B148" s="28" t="s">
        <v>28</v>
      </c>
      <c r="C148" s="29">
        <v>3</v>
      </c>
      <c r="D148" s="30">
        <v>8.2199999999999995E-2</v>
      </c>
      <c r="E148" s="29">
        <v>14144</v>
      </c>
    </row>
    <row r="149" spans="2:10">
      <c r="B149" s="28" t="s">
        <v>22</v>
      </c>
      <c r="C149" s="29">
        <v>2</v>
      </c>
      <c r="D149" s="30">
        <v>6.9800000000000001E-2</v>
      </c>
      <c r="E149" s="29">
        <v>12009</v>
      </c>
    </row>
    <row r="150" spans="2:10">
      <c r="B150" s="28" t="s">
        <v>19</v>
      </c>
      <c r="C150" s="29">
        <v>1</v>
      </c>
      <c r="D150" s="30">
        <v>2.6499999999999999E-2</v>
      </c>
      <c r="E150" s="29">
        <v>4561</v>
      </c>
    </row>
    <row r="151" spans="2:10">
      <c r="B151" s="28" t="s">
        <v>25</v>
      </c>
      <c r="C151" s="29">
        <v>1</v>
      </c>
      <c r="D151" s="30">
        <v>5.4600000000000003E-2</v>
      </c>
      <c r="E151" s="29">
        <v>9392</v>
      </c>
    </row>
    <row r="152" spans="2:10" ht="15" thickBot="1">
      <c r="B152" s="25" t="s">
        <v>18</v>
      </c>
      <c r="C152" s="26"/>
      <c r="D152" s="27"/>
      <c r="E152" s="26"/>
    </row>
    <row r="153" spans="2:10">
      <c r="B153" s="28" t="s">
        <v>15</v>
      </c>
      <c r="C153" s="29">
        <v>5</v>
      </c>
      <c r="D153" s="30">
        <v>0.1714</v>
      </c>
      <c r="E153" s="29">
        <v>29498</v>
      </c>
    </row>
    <row r="154" spans="2:10">
      <c r="B154" s="28" t="s">
        <v>22</v>
      </c>
      <c r="C154" s="29">
        <v>4</v>
      </c>
      <c r="D154" s="30">
        <v>0.1018</v>
      </c>
      <c r="E154" s="29">
        <v>17521</v>
      </c>
    </row>
    <row r="155" spans="2:10" ht="15" thickBot="1">
      <c r="B155" s="28" t="s">
        <v>19</v>
      </c>
      <c r="C155" s="29">
        <v>2</v>
      </c>
      <c r="D155" s="30">
        <v>5.8999999999999997E-2</v>
      </c>
      <c r="E155" s="29">
        <v>10158</v>
      </c>
    </row>
    <row r="156" spans="2:10">
      <c r="B156" s="31"/>
      <c r="C156" s="32"/>
      <c r="D156" s="33"/>
      <c r="E156" s="32"/>
    </row>
    <row r="170" spans="2:3">
      <c r="C170" t="s">
        <v>31</v>
      </c>
    </row>
    <row r="171" spans="2:3">
      <c r="B171" s="5" t="s">
        <v>24</v>
      </c>
      <c r="C171" s="15">
        <v>9.2975396996037712E-2</v>
      </c>
    </row>
    <row r="172" spans="2:3">
      <c r="B172" s="11" t="s">
        <v>23</v>
      </c>
      <c r="C172" s="15">
        <v>9.2975396996037712E-2</v>
      </c>
    </row>
    <row r="173" spans="2:3">
      <c r="B173" s="5" t="s">
        <v>26</v>
      </c>
      <c r="C173" s="15">
        <v>0.36886076726971156</v>
      </c>
    </row>
    <row r="174" spans="2:3">
      <c r="B174" s="11" t="s">
        <v>27</v>
      </c>
      <c r="C174" s="15">
        <v>0.36886076726971156</v>
      </c>
    </row>
    <row r="175" spans="2:3">
      <c r="B175" s="5" t="s">
        <v>18</v>
      </c>
      <c r="C175" s="15">
        <v>0.53816383573425075</v>
      </c>
    </row>
    <row r="176" spans="2:3">
      <c r="B176" s="11" t="s">
        <v>20</v>
      </c>
      <c r="C176" s="15">
        <v>0.44930429707896918</v>
      </c>
    </row>
    <row r="177" spans="2:3">
      <c r="B177" s="11" t="s">
        <v>23</v>
      </c>
      <c r="C177" s="15">
        <v>4.6134471849371868E-2</v>
      </c>
    </row>
    <row r="178" spans="2:3">
      <c r="B178" s="11" t="s">
        <v>16</v>
      </c>
      <c r="C178" s="15">
        <v>4.2725066805909637E-2</v>
      </c>
    </row>
    <row r="179" spans="2:3">
      <c r="B179" s="5" t="s">
        <v>30</v>
      </c>
      <c r="C179" s="15">
        <v>1</v>
      </c>
    </row>
  </sheetData>
  <sheetProtection algorithmName="SHA-512" hashValue="1TcXZ4cz3iYyfUwT0hwCIQPGrbjKyFnSVwmrNxqkX5aF0tCkNowPkJPyfwbXTR5rhpYL8nKWpHkfLtH0CrEPsw==" saltValue="kDRVuICGOtnkavLpo30VUA==" spinCount="100000" sheet="1"/>
  <sortState xmlns:xlrd2="http://schemas.microsoft.com/office/spreadsheetml/2017/richdata2" ref="X41:AC56">
    <sortCondition ref="AA41"/>
  </sortState>
  <conditionalFormatting pivot="1" sqref="AK17:AK20 AK22:AK25 AK27:AK28 AK30:AK33 AK35:AK38">
    <cfRule type="colorScale" priority="26">
      <colorScale>
        <cfvo type="min"/>
        <cfvo type="percentile" val="50"/>
        <cfvo type="max"/>
        <color rgb="FFF8696B"/>
        <color rgb="FFFFEB84"/>
        <color rgb="FF63BE7B"/>
      </colorScale>
    </cfRule>
  </conditionalFormatting>
  <conditionalFormatting pivot="1" sqref="AL17:AL20 AL22:AL25 AL27:AL28 AL30:AL33 AL35:AL38">
    <cfRule type="colorScale" priority="24">
      <colorScale>
        <cfvo type="min"/>
        <cfvo type="percentile" val="50"/>
        <cfvo type="max"/>
        <color rgb="FF63BE7B"/>
        <color rgb="FFFFEB84"/>
        <color rgb="FFF8696B"/>
      </colorScale>
    </cfRule>
  </conditionalFormatting>
  <conditionalFormatting pivot="1" sqref="B43:E43">
    <cfRule type="colorScale" priority="22">
      <colorScale>
        <cfvo type="min"/>
        <cfvo type="percentile" val="50"/>
        <cfvo type="max"/>
        <color rgb="FFF8696B"/>
        <color rgb="FFFFEB84"/>
        <color rgb="FF63BE7B"/>
      </colorScale>
    </cfRule>
  </conditionalFormatting>
  <conditionalFormatting pivot="1" sqref="B41:E41">
    <cfRule type="colorScale" priority="21">
      <colorScale>
        <cfvo type="min"/>
        <cfvo type="percentile" val="50"/>
        <cfvo type="max"/>
        <color rgb="FFF8696B"/>
        <color rgb="FFFFEB84"/>
        <color rgb="FF63BE7B"/>
      </colorScale>
    </cfRule>
  </conditionalFormatting>
  <conditionalFormatting pivot="1" sqref="B44:E44">
    <cfRule type="colorScale" priority="20">
      <colorScale>
        <cfvo type="min"/>
        <cfvo type="percentile" val="50"/>
        <cfvo type="max"/>
        <color rgb="FFF8696B"/>
        <color rgb="FFFFEB84"/>
        <color rgb="FF63BE7B"/>
      </colorScale>
    </cfRule>
  </conditionalFormatting>
  <conditionalFormatting pivot="1" sqref="B42:E42">
    <cfRule type="colorScale" priority="19">
      <colorScale>
        <cfvo type="min"/>
        <cfvo type="percentile" val="50"/>
        <cfvo type="max"/>
        <color rgb="FFF8696B"/>
        <color rgb="FFFFEB84"/>
        <color rgb="FF63BE7B"/>
      </colorScale>
    </cfRule>
  </conditionalFormatting>
  <conditionalFormatting pivot="1" sqref="B40:E40">
    <cfRule type="colorScale" priority="18">
      <colorScale>
        <cfvo type="min"/>
        <cfvo type="percentile" val="50"/>
        <cfvo type="max"/>
        <color rgb="FFF8696B"/>
        <color rgb="FFFFEB84"/>
        <color rgb="FF63BE7B"/>
      </colorScale>
    </cfRule>
  </conditionalFormatting>
  <conditionalFormatting pivot="1" sqref="O5:R9">
    <cfRule type="dataBar" priority="17">
      <dataBar>
        <cfvo type="min"/>
        <cfvo type="max"/>
        <color rgb="FF63C384"/>
      </dataBar>
      <extLst>
        <ext xmlns:x14="http://schemas.microsoft.com/office/spreadsheetml/2009/9/main" uri="{B025F937-C7B1-47D3-B67F-A62EFF666E3E}">
          <x14:id>{C96A991D-13C0-4ECC-817E-78A554305474}</x14:id>
        </ext>
      </extLst>
    </cfRule>
  </conditionalFormatting>
  <conditionalFormatting sqref="B48:E52">
    <cfRule type="dataBar" priority="15">
      <dataBar>
        <cfvo type="min"/>
        <cfvo type="max"/>
        <color rgb="FF63C384"/>
      </dataBar>
      <extLst>
        <ext xmlns:x14="http://schemas.microsoft.com/office/spreadsheetml/2009/9/main" uri="{B025F937-C7B1-47D3-B67F-A62EFF666E3E}">
          <x14:id>{427CD34E-D298-460B-B5C6-D248F976DD72}</x14:id>
        </ext>
      </extLst>
    </cfRule>
  </conditionalFormatting>
  <conditionalFormatting sqref="I40:I44">
    <cfRule type="colorScale" priority="14">
      <colorScale>
        <cfvo type="min"/>
        <cfvo type="percentile" val="50"/>
        <cfvo type="max"/>
        <color rgb="FFF8696B"/>
        <color rgb="FFFFEB84"/>
        <color rgb="FF63BE7B"/>
      </colorScale>
    </cfRule>
  </conditionalFormatting>
  <conditionalFormatting sqref="J40:J44">
    <cfRule type="colorScale" priority="13">
      <colorScale>
        <cfvo type="min"/>
        <cfvo type="percentile" val="50"/>
        <cfvo type="max"/>
        <color rgb="FF63BE7B"/>
        <color rgb="FFFFEB84"/>
        <color rgb="FFF8696B"/>
      </colorScale>
    </cfRule>
  </conditionalFormatting>
  <conditionalFormatting pivot="1" sqref="I49:L49">
    <cfRule type="colorScale" priority="12">
      <colorScale>
        <cfvo type="min"/>
        <cfvo type="percentile" val="50"/>
        <cfvo type="max"/>
        <color rgb="FFF8696B"/>
        <color rgb="FFFFEB84"/>
        <color rgb="FF63BE7B"/>
      </colorScale>
    </cfRule>
  </conditionalFormatting>
  <conditionalFormatting pivot="1">
    <cfRule type="colorScale" priority="11">
      <colorScale>
        <cfvo type="min"/>
        <cfvo type="percentile" val="50"/>
        <cfvo type="max"/>
        <color rgb="FFF8696B"/>
        <color rgb="FFFFEB84"/>
        <color rgb="FF63BE7B"/>
      </colorScale>
    </cfRule>
  </conditionalFormatting>
  <conditionalFormatting pivot="1">
    <cfRule type="colorScale" priority="10">
      <colorScale>
        <cfvo type="min"/>
        <cfvo type="percentile" val="50"/>
        <cfvo type="max"/>
        <color rgb="FFF8696B"/>
        <color rgb="FFFFEB84"/>
        <color rgb="FF63BE7B"/>
      </colorScale>
    </cfRule>
  </conditionalFormatting>
  <conditionalFormatting pivot="1">
    <cfRule type="colorScale" priority="9">
      <colorScale>
        <cfvo type="min"/>
        <cfvo type="percentile" val="50"/>
        <cfvo type="max"/>
        <color rgb="FFF8696B"/>
        <color rgb="FFFFEB84"/>
        <color rgb="FF63BE7B"/>
      </colorScale>
    </cfRule>
  </conditionalFormatting>
  <conditionalFormatting pivot="1">
    <cfRule type="colorScale" priority="8">
      <colorScale>
        <cfvo type="min"/>
        <cfvo type="percentile" val="50"/>
        <cfvo type="max"/>
        <color rgb="FFF8696B"/>
        <color rgb="FFFFEB84"/>
        <color rgb="FF63BE7B"/>
      </colorScale>
    </cfRule>
  </conditionalFormatting>
  <pageMargins left="0.7" right="0.7" top="0.75" bottom="0.75" header="0.3" footer="0.3"/>
  <drawing r:id="rId17"/>
  <extLst>
    <ext xmlns:x14="http://schemas.microsoft.com/office/spreadsheetml/2009/9/main" uri="{78C0D931-6437-407d-A8EE-F0AAD7539E65}">
      <x14:conditionalFormattings>
        <x14:conditionalFormatting xmlns:xm="http://schemas.microsoft.com/office/excel/2006/main" pivot="1">
          <x14:cfRule type="dataBar" id="{C96A991D-13C0-4ECC-817E-78A554305474}">
            <x14:dataBar minLength="0" maxLength="100" border="1" negativeBarBorderColorSameAsPositive="0">
              <x14:cfvo type="autoMin"/>
              <x14:cfvo type="autoMax"/>
              <x14:borderColor rgb="FF63C384"/>
              <x14:negativeFillColor rgb="FFFF0000"/>
              <x14:negativeBorderColor rgb="FFFF0000"/>
              <x14:axisColor rgb="FF000000"/>
            </x14:dataBar>
          </x14:cfRule>
          <xm:sqref>O5:R9</xm:sqref>
        </x14:conditionalFormatting>
        <x14:conditionalFormatting xmlns:xm="http://schemas.microsoft.com/office/excel/2006/main">
          <x14:cfRule type="dataBar" id="{427CD34E-D298-460B-B5C6-D248F976DD72}">
            <x14:dataBar minLength="0" maxLength="100" border="1" negativeBarBorderColorSameAsPositive="0">
              <x14:cfvo type="autoMin"/>
              <x14:cfvo type="autoMax"/>
              <x14:borderColor rgb="FF63C384"/>
              <x14:negativeFillColor rgb="FFFF0000"/>
              <x14:negativeBorderColor rgb="FFFF0000"/>
              <x14:axisColor rgb="FF000000"/>
            </x14:dataBar>
          </x14:cfRule>
          <xm:sqref>B48:E52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BF7C5-6CAA-4693-9ED2-414484E89463}">
  <dimension ref="M1:AF25"/>
  <sheetViews>
    <sheetView zoomScale="54" zoomScaleNormal="49" workbookViewId="0">
      <selection activeCell="AK14" sqref="AK14"/>
    </sheetView>
  </sheetViews>
  <sheetFormatPr defaultRowHeight="14.5"/>
  <cols>
    <col min="22" max="22" width="0" hidden="1" customWidth="1"/>
  </cols>
  <sheetData>
    <row r="1" spans="30:30" s="9" customFormat="1"/>
    <row r="2" spans="30:30" s="9" customFormat="1"/>
    <row r="3" spans="30:30" s="9" customFormat="1"/>
    <row r="4" spans="30:30" s="9" customFormat="1"/>
    <row r="5" spans="30:30" s="9" customFormat="1"/>
    <row r="6" spans="30:30" s="9" customFormat="1"/>
    <row r="7" spans="30:30" s="9" customFormat="1"/>
    <row r="8" spans="30:30" s="9" customFormat="1"/>
    <row r="10" spans="30:30">
      <c r="AD10">
        <f>172093/160</f>
        <v>1075.58125</v>
      </c>
    </row>
    <row r="17" spans="13:32">
      <c r="AE17" t="s">
        <v>84</v>
      </c>
      <c r="AF17">
        <v>7</v>
      </c>
    </row>
    <row r="18" spans="13:32">
      <c r="AE18" t="s">
        <v>85</v>
      </c>
      <c r="AF18">
        <v>5</v>
      </c>
    </row>
    <row r="22" spans="13:32">
      <c r="M22">
        <f>GETPIVOTDATA("Revenue",'Pivot_table '!$A$38)</f>
        <v>172093</v>
      </c>
    </row>
    <row r="23" spans="13:32">
      <c r="V23">
        <f>GETPIVOTDATA("Revenue",'Pivot_table '!$A$38)</f>
        <v>172093</v>
      </c>
    </row>
    <row r="25" spans="13:32">
      <c r="V25">
        <f>GETPIVOTDATA("Deals Closed",'Pivot_table '!$N$3)</f>
        <v>160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173B2-F5AB-4642-8397-418716930E86}">
  <dimension ref="A1:Y41"/>
  <sheetViews>
    <sheetView zoomScale="84" workbookViewId="0">
      <selection activeCell="M15" sqref="M15"/>
    </sheetView>
  </sheetViews>
  <sheetFormatPr defaultRowHeight="14.5"/>
  <cols>
    <col min="1" max="1" width="11.7265625" customWidth="1"/>
    <col min="2" max="2" width="10.453125" style="17" customWidth="1"/>
    <col min="3" max="3" width="10.90625" customWidth="1"/>
    <col min="4" max="4" width="8.54296875" customWidth="1"/>
    <col min="5" max="5" width="13.81640625" customWidth="1"/>
    <col min="6" max="6" width="10.08984375" customWidth="1"/>
    <col min="7" max="7" width="15.26953125" customWidth="1"/>
    <col min="8" max="8" width="9.1796875" customWidth="1"/>
    <col min="12" max="12" width="12" bestFit="1" customWidth="1"/>
    <col min="13" max="13" width="14.7265625" bestFit="1" customWidth="1"/>
    <col min="14" max="14" width="9.90625" bestFit="1" customWidth="1"/>
    <col min="15" max="15" width="16.26953125" bestFit="1" customWidth="1"/>
    <col min="16" max="16" width="11.26953125" bestFit="1" customWidth="1"/>
    <col min="17" max="17" width="10.453125" bestFit="1" customWidth="1"/>
    <col min="18" max="18" width="15.81640625" bestFit="1" customWidth="1"/>
    <col min="19" max="19" width="18.81640625" bestFit="1" customWidth="1"/>
    <col min="25" max="25" width="6.453125" bestFit="1" customWidth="1"/>
  </cols>
  <sheetData>
    <row r="1" spans="1:25" ht="18.5">
      <c r="A1" t="s">
        <v>0</v>
      </c>
      <c r="B1" s="17" t="s">
        <v>41</v>
      </c>
      <c r="C1" t="s">
        <v>1</v>
      </c>
      <c r="D1" t="s">
        <v>2</v>
      </c>
      <c r="E1" t="s">
        <v>3</v>
      </c>
      <c r="F1" t="s">
        <v>4</v>
      </c>
      <c r="G1" t="s">
        <v>5</v>
      </c>
      <c r="H1" t="s">
        <v>6</v>
      </c>
      <c r="I1" t="s">
        <v>72</v>
      </c>
      <c r="L1" s="2" t="s">
        <v>7</v>
      </c>
      <c r="M1" s="2" t="s">
        <v>8</v>
      </c>
      <c r="N1" s="2" t="s">
        <v>9</v>
      </c>
      <c r="O1" s="2" t="s">
        <v>10</v>
      </c>
      <c r="P1" s="2" t="s">
        <v>11</v>
      </c>
      <c r="Q1" s="2" t="s">
        <v>12</v>
      </c>
      <c r="R1" s="2" t="s">
        <v>13</v>
      </c>
      <c r="S1" s="2" t="s">
        <v>14</v>
      </c>
    </row>
    <row r="2" spans="1:25" ht="19" thickBot="1">
      <c r="A2" s="1">
        <v>45658</v>
      </c>
      <c r="B2" s="18">
        <v>1</v>
      </c>
      <c r="C2" t="s">
        <v>15</v>
      </c>
      <c r="D2" t="s">
        <v>16</v>
      </c>
      <c r="E2">
        <v>4</v>
      </c>
      <c r="F2">
        <v>3568</v>
      </c>
      <c r="G2" t="s">
        <v>17</v>
      </c>
      <c r="H2" t="s">
        <v>18</v>
      </c>
      <c r="I2" t="str">
        <f>Table1[[#This Row],[Sales Rep]]</f>
        <v>Sneha</v>
      </c>
      <c r="L2" s="3" t="s">
        <v>15</v>
      </c>
      <c r="M2" s="2">
        <f>SUMIF(C:C,L2,E:E)</f>
        <v>43</v>
      </c>
      <c r="N2" s="2">
        <f>SUMIF(C:C,L2,F:F)</f>
        <v>38998</v>
      </c>
      <c r="O2" s="2">
        <f>SUMIFS(F:F, C:C, TRIM(L2), G:G, "New")</f>
        <v>16176</v>
      </c>
      <c r="P2" s="2">
        <f>SUMIFS(F:F, C:C, TRIM(L2), G:G, "Returning")</f>
        <v>22822</v>
      </c>
      <c r="Q2" s="2">
        <f>SUMIFS(E:E, C:C, TRIM(L2), G:G, "New")</f>
        <v>17</v>
      </c>
      <c r="R2" s="2">
        <f>SUMIFS(E:E, C:C, TRIM(L2), G:G, "Returning")</f>
        <v>26</v>
      </c>
      <c r="S2" s="2">
        <f>N2/M2</f>
        <v>906.93023255813955</v>
      </c>
      <c r="Y2" t="str" cm="1">
        <f t="array" ref="Y2:Y6">_xlfn.UNIQUE(C2:C31)</f>
        <v>Sneha</v>
      </c>
    </row>
    <row r="3" spans="1:25" ht="15" thickTop="1">
      <c r="A3" s="1">
        <v>45659</v>
      </c>
      <c r="B3" s="18">
        <v>2</v>
      </c>
      <c r="C3" t="s">
        <v>19</v>
      </c>
      <c r="D3" t="s">
        <v>20</v>
      </c>
      <c r="E3">
        <v>7</v>
      </c>
      <c r="F3">
        <v>6463</v>
      </c>
      <c r="G3" t="s">
        <v>21</v>
      </c>
      <c r="H3" t="s">
        <v>18</v>
      </c>
      <c r="I3" t="str">
        <f>Table1[[#This Row],[Sales Rep]]</f>
        <v>Vikram</v>
      </c>
      <c r="Y3" t="str">
        <v>Vikram</v>
      </c>
    </row>
    <row r="4" spans="1:25">
      <c r="A4" s="1">
        <v>45660</v>
      </c>
      <c r="B4" s="18">
        <v>3</v>
      </c>
      <c r="C4" t="s">
        <v>22</v>
      </c>
      <c r="D4" t="s">
        <v>23</v>
      </c>
      <c r="E4">
        <v>8</v>
      </c>
      <c r="F4">
        <v>3027</v>
      </c>
      <c r="G4" t="s">
        <v>21</v>
      </c>
      <c r="H4" t="s">
        <v>24</v>
      </c>
      <c r="I4" t="str">
        <f>Table1[[#This Row],[Sales Rep]]</f>
        <v>Anil</v>
      </c>
      <c r="Y4" t="str">
        <v>Anil</v>
      </c>
    </row>
    <row r="5" spans="1:25">
      <c r="A5" s="1">
        <v>45661</v>
      </c>
      <c r="B5" s="18">
        <v>4</v>
      </c>
      <c r="C5" t="s">
        <v>19</v>
      </c>
      <c r="D5" t="s">
        <v>23</v>
      </c>
      <c r="E5">
        <v>3</v>
      </c>
      <c r="F5">
        <v>3695</v>
      </c>
      <c r="G5" t="s">
        <v>21</v>
      </c>
      <c r="H5" t="s">
        <v>18</v>
      </c>
      <c r="I5" t="str">
        <f>Table1[[#This Row],[Sales Rep]]</f>
        <v>Vikram</v>
      </c>
      <c r="Y5" t="str">
        <v>Priya</v>
      </c>
    </row>
    <row r="6" spans="1:25">
      <c r="A6" s="1">
        <v>45662</v>
      </c>
      <c r="B6" s="18">
        <v>5</v>
      </c>
      <c r="C6" t="s">
        <v>19</v>
      </c>
      <c r="D6" t="s">
        <v>20</v>
      </c>
      <c r="E6">
        <v>1</v>
      </c>
      <c r="F6">
        <v>6258</v>
      </c>
      <c r="G6" t="s">
        <v>17</v>
      </c>
      <c r="H6" t="s">
        <v>24</v>
      </c>
      <c r="I6" t="str">
        <f>Table1[[#This Row],[Sales Rep]]</f>
        <v>Vikram</v>
      </c>
      <c r="Y6" t="str">
        <v>Rahul</v>
      </c>
    </row>
    <row r="7" spans="1:25">
      <c r="A7" s="1">
        <v>45663</v>
      </c>
      <c r="B7" s="18">
        <v>6</v>
      </c>
      <c r="C7" t="s">
        <v>25</v>
      </c>
      <c r="D7" t="s">
        <v>23</v>
      </c>
      <c r="E7">
        <v>4</v>
      </c>
      <c r="F7">
        <v>7432</v>
      </c>
      <c r="G7" t="s">
        <v>17</v>
      </c>
      <c r="H7" t="s">
        <v>24</v>
      </c>
      <c r="I7" t="str">
        <f>Table1[[#This Row],[Sales Rep]]</f>
        <v>Priya</v>
      </c>
    </row>
    <row r="8" spans="1:25">
      <c r="A8" s="1">
        <v>45664</v>
      </c>
      <c r="B8" s="18">
        <v>7</v>
      </c>
      <c r="C8" t="s">
        <v>22</v>
      </c>
      <c r="D8" t="s">
        <v>20</v>
      </c>
      <c r="E8">
        <v>2</v>
      </c>
      <c r="F8">
        <v>7736</v>
      </c>
      <c r="G8" t="s">
        <v>17</v>
      </c>
      <c r="H8" t="s">
        <v>18</v>
      </c>
      <c r="I8" t="str">
        <f>Table1[[#This Row],[Sales Rep]]</f>
        <v>Anil</v>
      </c>
    </row>
    <row r="9" spans="1:25">
      <c r="A9" s="1">
        <v>45665</v>
      </c>
      <c r="B9" s="18">
        <v>8</v>
      </c>
      <c r="C9" t="s">
        <v>22</v>
      </c>
      <c r="D9" t="s">
        <v>16</v>
      </c>
      <c r="E9">
        <v>8</v>
      </c>
      <c r="F9">
        <v>1391</v>
      </c>
      <c r="G9" t="s">
        <v>21</v>
      </c>
      <c r="H9" t="s">
        <v>18</v>
      </c>
      <c r="I9" t="str">
        <f>Table1[[#This Row],[Sales Rep]]</f>
        <v>Anil</v>
      </c>
    </row>
    <row r="10" spans="1:25">
      <c r="A10" s="1">
        <v>45666</v>
      </c>
      <c r="B10" s="18">
        <v>9</v>
      </c>
      <c r="C10" t="s">
        <v>22</v>
      </c>
      <c r="D10" t="s">
        <v>20</v>
      </c>
      <c r="E10">
        <v>4</v>
      </c>
      <c r="F10">
        <v>6892</v>
      </c>
      <c r="G10" t="s">
        <v>17</v>
      </c>
      <c r="H10" t="s">
        <v>18</v>
      </c>
      <c r="I10" t="str">
        <f>Table1[[#This Row],[Sales Rep]]</f>
        <v>Anil</v>
      </c>
    </row>
    <row r="11" spans="1:25">
      <c r="A11" s="1">
        <v>45667</v>
      </c>
      <c r="B11" s="18">
        <v>10</v>
      </c>
      <c r="C11" t="s">
        <v>19</v>
      </c>
      <c r="D11" t="s">
        <v>16</v>
      </c>
      <c r="E11">
        <v>2</v>
      </c>
      <c r="F11">
        <v>4561</v>
      </c>
      <c r="G11" t="s">
        <v>17</v>
      </c>
      <c r="H11" t="s">
        <v>26</v>
      </c>
      <c r="I11" t="str">
        <f>Table1[[#This Row],[Sales Rep]]</f>
        <v>Vikram</v>
      </c>
    </row>
    <row r="12" spans="1:25">
      <c r="A12" s="1">
        <v>45668</v>
      </c>
      <c r="B12" s="18">
        <v>11</v>
      </c>
      <c r="C12" t="s">
        <v>15</v>
      </c>
      <c r="D12" t="s">
        <v>16</v>
      </c>
      <c r="E12">
        <v>6</v>
      </c>
      <c r="F12">
        <v>7184</v>
      </c>
      <c r="G12" t="s">
        <v>21</v>
      </c>
      <c r="H12" t="s">
        <v>18</v>
      </c>
      <c r="I12" t="str">
        <f>Table1[[#This Row],[Sales Rep]]</f>
        <v>Sneha</v>
      </c>
    </row>
    <row r="13" spans="1:25">
      <c r="A13" s="1">
        <v>45669</v>
      </c>
      <c r="B13" s="18">
        <v>12</v>
      </c>
      <c r="C13" t="s">
        <v>22</v>
      </c>
      <c r="D13" t="s">
        <v>27</v>
      </c>
      <c r="E13">
        <v>6</v>
      </c>
      <c r="F13">
        <v>4099</v>
      </c>
      <c r="G13" t="s">
        <v>17</v>
      </c>
      <c r="H13" t="s">
        <v>26</v>
      </c>
      <c r="I13" t="str">
        <f>Table1[[#This Row],[Sales Rep]]</f>
        <v>Anil</v>
      </c>
    </row>
    <row r="14" spans="1:25">
      <c r="A14" s="1">
        <v>45670</v>
      </c>
      <c r="B14" s="18">
        <v>13</v>
      </c>
      <c r="C14" t="s">
        <v>19</v>
      </c>
      <c r="D14" t="s">
        <v>20</v>
      </c>
      <c r="E14">
        <v>4</v>
      </c>
      <c r="F14">
        <v>7278</v>
      </c>
      <c r="G14" t="s">
        <v>21</v>
      </c>
      <c r="H14" t="s">
        <v>24</v>
      </c>
      <c r="I14" t="str">
        <f>Table1[[#This Row],[Sales Rep]]</f>
        <v>Vikram</v>
      </c>
    </row>
    <row r="15" spans="1:25">
      <c r="A15" s="1">
        <v>45671</v>
      </c>
      <c r="B15" s="18">
        <v>14</v>
      </c>
      <c r="C15" t="s">
        <v>25</v>
      </c>
      <c r="D15" t="s">
        <v>27</v>
      </c>
      <c r="E15">
        <v>6</v>
      </c>
      <c r="F15">
        <v>9392</v>
      </c>
      <c r="G15" t="s">
        <v>21</v>
      </c>
      <c r="H15" t="s">
        <v>26</v>
      </c>
      <c r="I15" t="str">
        <f>Table1[[#This Row],[Sales Rep]]</f>
        <v>Priya</v>
      </c>
    </row>
    <row r="16" spans="1:25">
      <c r="A16" s="1">
        <v>45672</v>
      </c>
      <c r="B16" s="18">
        <v>15</v>
      </c>
      <c r="C16" t="s">
        <v>15</v>
      </c>
      <c r="D16" t="s">
        <v>20</v>
      </c>
      <c r="E16">
        <v>2</v>
      </c>
      <c r="F16">
        <v>4104</v>
      </c>
      <c r="G16" t="s">
        <v>21</v>
      </c>
      <c r="H16" t="s">
        <v>18</v>
      </c>
      <c r="I16" t="str">
        <f>Table1[[#This Row],[Sales Rep]]</f>
        <v>Sneha</v>
      </c>
    </row>
    <row r="17" spans="1:9">
      <c r="A17" s="1">
        <v>45673</v>
      </c>
      <c r="B17" s="18">
        <v>16</v>
      </c>
      <c r="C17" t="s">
        <v>25</v>
      </c>
      <c r="D17" t="s">
        <v>20</v>
      </c>
      <c r="E17">
        <v>2</v>
      </c>
      <c r="F17">
        <v>8215</v>
      </c>
      <c r="G17" t="s">
        <v>17</v>
      </c>
      <c r="H17" t="s">
        <v>24</v>
      </c>
      <c r="I17" t="str">
        <f>Table1[[#This Row],[Sales Rep]]</f>
        <v>Priya</v>
      </c>
    </row>
    <row r="18" spans="1:9">
      <c r="A18" s="1">
        <v>45674</v>
      </c>
      <c r="B18" s="18">
        <v>17</v>
      </c>
      <c r="C18" t="s">
        <v>15</v>
      </c>
      <c r="D18" t="s">
        <v>27</v>
      </c>
      <c r="E18">
        <v>4</v>
      </c>
      <c r="F18">
        <v>3454</v>
      </c>
      <c r="G18" t="s">
        <v>17</v>
      </c>
      <c r="H18" t="s">
        <v>24</v>
      </c>
      <c r="I18" t="str">
        <f>Table1[[#This Row],[Sales Rep]]</f>
        <v>Sneha</v>
      </c>
    </row>
    <row r="19" spans="1:9">
      <c r="A19" s="1">
        <v>45675</v>
      </c>
      <c r="B19" s="18">
        <v>18</v>
      </c>
      <c r="C19" t="s">
        <v>19</v>
      </c>
      <c r="D19" t="s">
        <v>27</v>
      </c>
      <c r="E19">
        <v>8</v>
      </c>
      <c r="F19">
        <v>9996</v>
      </c>
      <c r="G19" t="s">
        <v>17</v>
      </c>
      <c r="H19" t="s">
        <v>24</v>
      </c>
      <c r="I19" t="str">
        <f>Table1[[#This Row],[Sales Rep]]</f>
        <v>Vikram</v>
      </c>
    </row>
    <row r="20" spans="1:9">
      <c r="A20" s="1">
        <v>45676</v>
      </c>
      <c r="B20" s="18">
        <v>19</v>
      </c>
      <c r="C20" t="s">
        <v>28</v>
      </c>
      <c r="D20" t="s">
        <v>20</v>
      </c>
      <c r="E20">
        <v>7</v>
      </c>
      <c r="F20">
        <v>3731</v>
      </c>
      <c r="G20" t="s">
        <v>17</v>
      </c>
      <c r="H20" t="s">
        <v>26</v>
      </c>
      <c r="I20" t="str">
        <f>Table1[[#This Row],[Sales Rep]]</f>
        <v>Rahul</v>
      </c>
    </row>
    <row r="21" spans="1:9">
      <c r="A21" s="1">
        <v>45677</v>
      </c>
      <c r="B21" s="18">
        <v>20</v>
      </c>
      <c r="C21" t="s">
        <v>15</v>
      </c>
      <c r="D21" t="s">
        <v>23</v>
      </c>
      <c r="E21">
        <v>9</v>
      </c>
      <c r="F21">
        <v>9154</v>
      </c>
      <c r="G21" t="s">
        <v>17</v>
      </c>
      <c r="H21" t="s">
        <v>18</v>
      </c>
      <c r="I21" t="str">
        <f>Table1[[#This Row],[Sales Rep]]</f>
        <v>Sneha</v>
      </c>
    </row>
    <row r="22" spans="1:9">
      <c r="A22" s="1">
        <v>45678</v>
      </c>
      <c r="B22" s="18">
        <v>21</v>
      </c>
      <c r="C22" t="s">
        <v>25</v>
      </c>
      <c r="D22" t="s">
        <v>16</v>
      </c>
      <c r="E22">
        <v>8</v>
      </c>
      <c r="F22">
        <v>6056</v>
      </c>
      <c r="G22" t="s">
        <v>17</v>
      </c>
      <c r="H22" t="s">
        <v>24</v>
      </c>
      <c r="I22" t="str">
        <f>Table1[[#This Row],[Sales Rep]]</f>
        <v>Priya</v>
      </c>
    </row>
    <row r="23" spans="1:9">
      <c r="A23" s="1">
        <v>45679</v>
      </c>
      <c r="B23" s="18">
        <v>22</v>
      </c>
      <c r="C23" t="s">
        <v>19</v>
      </c>
      <c r="D23" t="s">
        <v>27</v>
      </c>
      <c r="E23">
        <v>5</v>
      </c>
      <c r="F23">
        <v>9110</v>
      </c>
      <c r="G23" t="s">
        <v>17</v>
      </c>
      <c r="H23" t="s">
        <v>24</v>
      </c>
      <c r="I23" t="str">
        <f>Table1[[#This Row],[Sales Rep]]</f>
        <v>Vikram</v>
      </c>
    </row>
    <row r="24" spans="1:9">
      <c r="A24" s="1">
        <v>45680</v>
      </c>
      <c r="B24" s="18">
        <v>23</v>
      </c>
      <c r="C24" t="s">
        <v>15</v>
      </c>
      <c r="D24" t="s">
        <v>16</v>
      </c>
      <c r="E24">
        <v>2</v>
      </c>
      <c r="F24">
        <v>4840</v>
      </c>
      <c r="G24" t="s">
        <v>21</v>
      </c>
      <c r="H24" t="s">
        <v>24</v>
      </c>
      <c r="I24" t="str">
        <f>Table1[[#This Row],[Sales Rep]]</f>
        <v>Sneha</v>
      </c>
    </row>
    <row r="25" spans="1:9">
      <c r="A25" s="1">
        <v>45681</v>
      </c>
      <c r="B25" s="18">
        <v>24</v>
      </c>
      <c r="C25" t="s">
        <v>28</v>
      </c>
      <c r="D25" t="s">
        <v>23</v>
      </c>
      <c r="E25">
        <v>5</v>
      </c>
      <c r="F25">
        <v>2028</v>
      </c>
      <c r="G25" t="s">
        <v>17</v>
      </c>
      <c r="H25" t="s">
        <v>26</v>
      </c>
      <c r="I25" t="str">
        <f>Table1[[#This Row],[Sales Rep]]</f>
        <v>Rahul</v>
      </c>
    </row>
    <row r="26" spans="1:9">
      <c r="A26" s="1">
        <v>45682</v>
      </c>
      <c r="B26" s="18">
        <v>25</v>
      </c>
      <c r="C26" t="s">
        <v>28</v>
      </c>
      <c r="D26" t="s">
        <v>23</v>
      </c>
      <c r="E26">
        <v>8</v>
      </c>
      <c r="F26">
        <v>8385</v>
      </c>
      <c r="G26" t="s">
        <v>21</v>
      </c>
      <c r="H26" t="s">
        <v>26</v>
      </c>
      <c r="I26" t="str">
        <f>Table1[[#This Row],[Sales Rep]]</f>
        <v>Rahul</v>
      </c>
    </row>
    <row r="27" spans="1:9">
      <c r="A27" s="1">
        <v>45683</v>
      </c>
      <c r="B27" s="18">
        <v>26</v>
      </c>
      <c r="C27" t="s">
        <v>22</v>
      </c>
      <c r="D27" t="s">
        <v>23</v>
      </c>
      <c r="E27">
        <v>9</v>
      </c>
      <c r="F27">
        <v>1502</v>
      </c>
      <c r="G27" t="s">
        <v>17</v>
      </c>
      <c r="H27" t="s">
        <v>18</v>
      </c>
      <c r="I27" t="str">
        <f>Table1[[#This Row],[Sales Rep]]</f>
        <v>Anil</v>
      </c>
    </row>
    <row r="28" spans="1:9">
      <c r="A28" s="1">
        <v>45684</v>
      </c>
      <c r="B28" s="18">
        <v>27</v>
      </c>
      <c r="C28" t="s">
        <v>22</v>
      </c>
      <c r="D28" t="s">
        <v>27</v>
      </c>
      <c r="E28">
        <v>9</v>
      </c>
      <c r="F28">
        <v>7910</v>
      </c>
      <c r="G28" t="s">
        <v>17</v>
      </c>
      <c r="H28" t="s">
        <v>26</v>
      </c>
      <c r="I28" t="str">
        <f>Table1[[#This Row],[Sales Rep]]</f>
        <v>Anil</v>
      </c>
    </row>
    <row r="29" spans="1:9">
      <c r="A29" s="1">
        <v>45685</v>
      </c>
      <c r="B29" s="18">
        <v>28</v>
      </c>
      <c r="C29" t="s">
        <v>25</v>
      </c>
      <c r="D29" t="s">
        <v>23</v>
      </c>
      <c r="E29">
        <v>1</v>
      </c>
      <c r="F29">
        <v>7938</v>
      </c>
      <c r="G29" t="s">
        <v>17</v>
      </c>
      <c r="H29" t="s">
        <v>24</v>
      </c>
      <c r="I29" t="str">
        <f>Table1[[#This Row],[Sales Rep]]</f>
        <v>Priya</v>
      </c>
    </row>
    <row r="30" spans="1:9">
      <c r="A30" s="1">
        <v>45686</v>
      </c>
      <c r="B30" s="18">
        <v>29</v>
      </c>
      <c r="C30" t="s">
        <v>15</v>
      </c>
      <c r="D30" t="s">
        <v>27</v>
      </c>
      <c r="E30">
        <v>9</v>
      </c>
      <c r="F30">
        <v>5488</v>
      </c>
      <c r="G30" t="s">
        <v>21</v>
      </c>
      <c r="H30" t="s">
        <v>18</v>
      </c>
      <c r="I30" t="str">
        <f>Table1[[#This Row],[Sales Rep]]</f>
        <v>Sneha</v>
      </c>
    </row>
    <row r="31" spans="1:9">
      <c r="A31" s="1">
        <v>45687</v>
      </c>
      <c r="B31" s="18">
        <v>30</v>
      </c>
      <c r="C31" t="s">
        <v>15</v>
      </c>
      <c r="D31" t="s">
        <v>23</v>
      </c>
      <c r="E31">
        <v>7</v>
      </c>
      <c r="F31">
        <v>1206</v>
      </c>
      <c r="G31" t="s">
        <v>21</v>
      </c>
      <c r="H31" t="s">
        <v>24</v>
      </c>
      <c r="I31" t="str">
        <f>Table1[[#This Row],[Sales Rep]]</f>
        <v>Sneha</v>
      </c>
    </row>
    <row r="32" spans="1:9">
      <c r="B32" s="18"/>
    </row>
    <row r="33" spans="2:2">
      <c r="B33" s="18"/>
    </row>
    <row r="34" spans="2:2">
      <c r="B34" s="18"/>
    </row>
    <row r="35" spans="2:2">
      <c r="B35" s="18"/>
    </row>
    <row r="36" spans="2:2">
      <c r="B36" s="18"/>
    </row>
    <row r="37" spans="2:2">
      <c r="B37" s="18"/>
    </row>
    <row r="38" spans="2:2">
      <c r="B38" s="18"/>
    </row>
    <row r="39" spans="2:2">
      <c r="B39" s="18"/>
    </row>
    <row r="40" spans="2:2">
      <c r="B40" s="18"/>
    </row>
    <row r="41" spans="2:2">
      <c r="B41" s="18"/>
    </row>
  </sheetData>
  <sheetProtection algorithmName="SHA-512" hashValue="HcgsWLLiYYA0BXsBeBejSUoygi6+122ezUHZ2fVI7Y7lK9WZpavMo9kNdIi8LM/JLSk2+OY/NQqnADiHTG5d2g==" saltValue="RSGXZndOLFSNDn5Aj2BARg==" spinCount="100000" sheet="1"/>
  <dataValidations count="1">
    <dataValidation type="list" allowBlank="1" showInputMessage="1" showErrorMessage="1" sqref="L2" xr:uid="{C29CE2B4-BAFF-47BB-BE5E-275A3D2BC370}">
      <formula1>$Y$2:$Y$6</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Pivot_table </vt:lpstr>
      <vt:lpstr>Dashboard</vt:lpstr>
      <vt:lpstr>Excel 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Vinayak Khandelwal</dc:creator>
  <cp:lastModifiedBy>Vinayak Khandelwal</cp:lastModifiedBy>
  <dcterms:created xsi:type="dcterms:W3CDTF">2025-11-18T12:14:41Z</dcterms:created>
  <dcterms:modified xsi:type="dcterms:W3CDTF">2026-01-20T07:00:49Z</dcterms:modified>
</cp:coreProperties>
</file>